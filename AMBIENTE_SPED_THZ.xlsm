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C:\Planilhas SPED\"/>
    </mc:Choice>
  </mc:AlternateContent>
  <bookViews>
    <workbookView xWindow="0" yWindow="0" windowWidth="20325" windowHeight="9645" tabRatio="838" activeTab="5"/>
  </bookViews>
  <sheets>
    <sheet name="LAYOUT_ICMS" sheetId="5" r:id="rId1"/>
    <sheet name="LAYOUT_PISCOFINS" sheetId="4" r:id="rId2"/>
    <sheet name="FORMULARIO" sheetId="63" r:id="rId3"/>
    <sheet name="PRONTAS" sheetId="72" r:id="rId4"/>
    <sheet name="REGISTROS" sheetId="64" r:id="rId5"/>
    <sheet name="SPED" sheetId="79" r:id="rId6"/>
  </sheets>
  <functionGroups builtInGroupCount="18"/>
  <definedNames>
    <definedName name="_xlnm._FilterDatabase" localSheetId="2" hidden="1">FORMULARIO!$B$2:$B$73</definedName>
  </definedNames>
  <calcPr calcId="162913" calcMode="autoNoTable"/>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7" i="63" l="1"/>
  <c r="E7" i="72"/>
  <c r="D6" i="72"/>
  <c r="D3" i="72"/>
  <c r="D4" i="72" l="1"/>
  <c r="D7" i="72"/>
  <c r="F7" i="72"/>
  <c r="F6" i="72" s="1"/>
  <c r="G7" i="72"/>
  <c r="G6" i="72" s="1"/>
  <c r="G19" i="63"/>
  <c r="S41" i="63"/>
  <c r="L73" i="63"/>
  <c r="I29" i="63"/>
  <c r="G5" i="63"/>
  <c r="S34" i="63"/>
  <c r="Y15" i="63"/>
  <c r="AK44" i="63"/>
  <c r="X41" i="63"/>
  <c r="AB41" i="63"/>
  <c r="C58" i="63"/>
  <c r="E34" i="63"/>
  <c r="H29" i="63"/>
  <c r="H8" i="63"/>
  <c r="L19" i="63"/>
  <c r="Q19" i="63"/>
  <c r="E69" i="63"/>
  <c r="L41" i="63"/>
  <c r="AE12" i="63"/>
  <c r="AH15" i="63"/>
  <c r="D64" i="63"/>
  <c r="F12" i="63"/>
  <c r="E8" i="63"/>
  <c r="C54" i="63"/>
  <c r="P48" i="63"/>
  <c r="N41" i="63"/>
  <c r="AA41" i="63"/>
  <c r="E73" i="63"/>
  <c r="H7" i="72"/>
  <c r="D73" i="63"/>
  <c r="D58" i="63"/>
  <c r="G25" i="63"/>
  <c r="P8" i="63"/>
  <c r="R37" i="63"/>
  <c r="C22" i="63"/>
  <c r="H64" i="63"/>
  <c r="P15" i="63"/>
  <c r="Q58" i="63"/>
  <c r="G54" i="63"/>
  <c r="H12" i="63"/>
  <c r="R19" i="63"/>
  <c r="M41" i="63"/>
  <c r="AJ44" i="63"/>
  <c r="F19" i="63"/>
  <c r="C69" i="63"/>
  <c r="S19" i="63"/>
  <c r="U12" i="63"/>
  <c r="Q15" i="63"/>
  <c r="K5" i="63"/>
  <c r="N29" i="63"/>
  <c r="P34" i="63"/>
  <c r="C41" i="63"/>
  <c r="D51" i="63"/>
  <c r="AL44" i="63"/>
  <c r="O58" i="63"/>
  <c r="N8" i="63"/>
  <c r="AI15" i="63"/>
  <c r="D12" i="63"/>
  <c r="Z41" i="63"/>
  <c r="E15" i="63"/>
  <c r="O15" i="63"/>
  <c r="T15" i="63"/>
  <c r="L15" i="63"/>
  <c r="H54" i="63"/>
  <c r="AA15" i="63"/>
  <c r="R12" i="63"/>
  <c r="C73" i="63"/>
  <c r="N37" i="63"/>
  <c r="F58" i="63"/>
  <c r="C12" i="63"/>
  <c r="O37" i="63"/>
  <c r="I5" i="63"/>
  <c r="K22" i="63"/>
  <c r="E19" i="63"/>
  <c r="E29" i="63"/>
  <c r="M15" i="63"/>
  <c r="P58" i="63"/>
  <c r="G73" i="63"/>
  <c r="AC12" i="63"/>
  <c r="F22" i="63"/>
  <c r="Y41" i="63"/>
  <c r="Q37" i="63"/>
  <c r="G29" i="63"/>
  <c r="U58" i="63"/>
  <c r="R8" i="63"/>
  <c r="F34" i="63"/>
  <c r="J22" i="63"/>
  <c r="E12" i="63"/>
  <c r="AB12" i="63"/>
  <c r="M12" i="63"/>
  <c r="C44" i="63"/>
  <c r="P37" i="63"/>
  <c r="F41" i="63"/>
  <c r="Q12" i="63"/>
  <c r="AL15" i="63"/>
  <c r="C61" i="63"/>
  <c r="F25" i="63"/>
  <c r="R29" i="63"/>
  <c r="AD15" i="63"/>
  <c r="I51" i="63"/>
  <c r="V5" i="63"/>
  <c r="M19" i="63"/>
  <c r="D29" i="63"/>
  <c r="D19" i="63"/>
  <c r="F29" i="63"/>
  <c r="C64" i="63"/>
  <c r="M29" i="63"/>
  <c r="L29" i="63"/>
  <c r="M48" i="63"/>
  <c r="V12" i="63"/>
  <c r="G69" i="63"/>
  <c r="AC15" i="63"/>
  <c r="C15" i="63"/>
  <c r="G22" i="63"/>
  <c r="L58" i="63"/>
  <c r="R5" i="63"/>
  <c r="J44" i="63"/>
  <c r="E64" i="63"/>
  <c r="H37" i="63"/>
  <c r="J51" i="63"/>
  <c r="Z12" i="63"/>
  <c r="AF15" i="63"/>
  <c r="U41" i="63"/>
  <c r="R41" i="63"/>
  <c r="V44" i="63"/>
  <c r="AJ15" i="63"/>
  <c r="S8" i="63"/>
  <c r="G64" i="63"/>
  <c r="V15" i="63"/>
  <c r="F73" i="63"/>
  <c r="J54" i="63"/>
  <c r="D8" i="63"/>
  <c r="T44" i="63"/>
  <c r="Q41" i="63"/>
  <c r="I54" i="63"/>
  <c r="H6" i="72"/>
  <c r="AE41" i="63"/>
  <c r="J15" i="63"/>
  <c r="E37" i="63"/>
  <c r="L5" i="63"/>
  <c r="E25" i="63"/>
  <c r="I58" i="63"/>
  <c r="G58" i="63"/>
  <c r="H44" i="63"/>
  <c r="M44" i="63"/>
  <c r="P19" i="63"/>
  <c r="G15" i="63"/>
  <c r="T58" i="63"/>
  <c r="U34" i="63"/>
  <c r="D22" i="63"/>
  <c r="AK15" i="63"/>
  <c r="L37" i="63"/>
  <c r="C25" i="63"/>
  <c r="M69" i="63"/>
  <c r="I48" i="63"/>
  <c r="I41" i="63"/>
  <c r="P29" i="63"/>
  <c r="H5" i="63"/>
  <c r="J41" i="63"/>
  <c r="H73" i="63"/>
  <c r="K8" i="63"/>
  <c r="N12" i="63"/>
  <c r="F54" i="63"/>
  <c r="H51" i="63"/>
  <c r="P12" i="63"/>
  <c r="G41" i="63"/>
  <c r="R44" i="63"/>
  <c r="H69" i="63"/>
  <c r="AB44" i="63"/>
  <c r="G51" i="63"/>
  <c r="L48" i="63"/>
  <c r="AB15" i="63"/>
  <c r="H58" i="63"/>
  <c r="U5" i="63"/>
  <c r="J64" i="63"/>
  <c r="V34" i="63"/>
  <c r="C8" i="63"/>
  <c r="I44" i="63"/>
  <c r="N69" i="63"/>
  <c r="D5" i="63"/>
  <c r="S5" i="63"/>
  <c r="AG44" i="63"/>
  <c r="I34" i="63"/>
  <c r="E41" i="63"/>
  <c r="D25" i="63"/>
  <c r="J8" i="63"/>
  <c r="K44" i="63"/>
  <c r="O69" i="63"/>
  <c r="F69" i="63"/>
  <c r="K48" i="63"/>
  <c r="J69" i="63"/>
  <c r="M37" i="63"/>
  <c r="U19" i="63"/>
  <c r="K37" i="63"/>
  <c r="T37" i="63"/>
  <c r="L8" i="63"/>
  <c r="O44" i="63"/>
  <c r="F44" i="63"/>
  <c r="U15" i="63"/>
  <c r="T19" i="63"/>
  <c r="S12" i="63"/>
  <c r="D48" i="63"/>
  <c r="J29" i="63"/>
  <c r="D15" i="63"/>
  <c r="Q34" i="63"/>
  <c r="K19" i="63"/>
  <c r="J25" i="63"/>
  <c r="I15" i="63"/>
  <c r="H22" i="63"/>
  <c r="E5" i="63"/>
  <c r="W12" i="63"/>
  <c r="R34" i="63"/>
  <c r="H19" i="63"/>
  <c r="F61" i="63"/>
  <c r="E58" i="63"/>
  <c r="Q5" i="63"/>
  <c r="M58" i="63"/>
  <c r="W41" i="63"/>
  <c r="F64" i="63"/>
  <c r="T12" i="63"/>
  <c r="G37" i="63"/>
  <c r="K58" i="63"/>
  <c r="K29" i="63"/>
  <c r="K15" i="63"/>
  <c r="W58" i="63"/>
  <c r="J12" i="63"/>
  <c r="W34" i="63"/>
  <c r="C51" i="63"/>
  <c r="N34" i="63"/>
  <c r="H15" i="63"/>
  <c r="Z44" i="63"/>
  <c r="E51" i="63"/>
  <c r="J58" i="63"/>
  <c r="AI44" i="63"/>
  <c r="AE15" i="63"/>
  <c r="R15" i="63"/>
  <c r="F8" i="63"/>
  <c r="AC41" i="63"/>
  <c r="L69" i="63"/>
  <c r="T5" i="63"/>
  <c r="AM44" i="63"/>
  <c r="F48" i="63"/>
  <c r="X44" i="63"/>
  <c r="L12" i="63"/>
  <c r="M5" i="63"/>
  <c r="W5" i="63"/>
  <c r="Y12" i="63"/>
  <c r="N5" i="63"/>
  <c r="S29" i="63"/>
  <c r="H61" i="63"/>
  <c r="O41" i="63"/>
  <c r="E22" i="63"/>
  <c r="O48" i="63"/>
  <c r="D44" i="63"/>
  <c r="K41" i="63"/>
  <c r="W44" i="63"/>
  <c r="O34" i="63"/>
  <c r="E61" i="63"/>
  <c r="C5" i="63"/>
  <c r="W15" i="63"/>
  <c r="F37" i="63"/>
  <c r="AA44" i="63"/>
  <c r="M8" i="63"/>
  <c r="L34" i="63"/>
  <c r="AD12" i="63"/>
  <c r="M73" i="63"/>
  <c r="P44" i="63"/>
  <c r="S58" i="63"/>
  <c r="I64" i="63"/>
  <c r="G61" i="63"/>
  <c r="T41" i="63"/>
  <c r="N58" i="63"/>
  <c r="I22" i="63"/>
  <c r="F5" i="63"/>
  <c r="G34" i="63"/>
  <c r="P41" i="63"/>
  <c r="T34" i="63"/>
  <c r="P5" i="63"/>
  <c r="O29" i="63"/>
  <c r="L44" i="63"/>
  <c r="D37" i="63"/>
  <c r="J48" i="63"/>
  <c r="J37" i="63"/>
  <c r="K69" i="63"/>
  <c r="I37" i="63"/>
  <c r="X15" i="63"/>
  <c r="Q29" i="63"/>
  <c r="F15" i="63"/>
  <c r="O12" i="63"/>
  <c r="AG15" i="63"/>
  <c r="AF44" i="63"/>
  <c r="D61" i="63"/>
  <c r="N48" i="63"/>
  <c r="K25" i="63"/>
  <c r="Q48" i="63"/>
  <c r="K12" i="63"/>
  <c r="V41" i="63"/>
  <c r="N19" i="63"/>
  <c r="S37" i="63"/>
  <c r="AH44" i="63"/>
  <c r="E54" i="63"/>
  <c r="I69" i="63"/>
  <c r="O5" i="63"/>
  <c r="H25" i="63"/>
  <c r="J61" i="63"/>
  <c r="AM15" i="63"/>
  <c r="J73" i="63"/>
  <c r="D54" i="63"/>
  <c r="AD41" i="63"/>
  <c r="E44" i="63"/>
  <c r="I19" i="63"/>
  <c r="H48" i="63"/>
  <c r="AC44" i="63"/>
  <c r="X58" i="63"/>
  <c r="T29" i="63"/>
  <c r="C29" i="63"/>
  <c r="N73" i="63"/>
  <c r="D34" i="63"/>
  <c r="F51" i="63"/>
  <c r="Q8" i="63"/>
  <c r="T8" i="63"/>
  <c r="D69" i="63"/>
  <c r="Y44" i="63"/>
  <c r="H41" i="63"/>
  <c r="C48" i="63"/>
  <c r="O19" i="63"/>
  <c r="I8" i="63"/>
  <c r="I61" i="63"/>
  <c r="AD44" i="63"/>
  <c r="G44" i="63"/>
  <c r="U29" i="63"/>
  <c r="Q44" i="63"/>
  <c r="M34" i="63"/>
  <c r="V58" i="63"/>
  <c r="C37" i="63"/>
  <c r="J5" i="63"/>
  <c r="C19" i="63"/>
  <c r="K34" i="63"/>
  <c r="J19" i="63"/>
  <c r="G12" i="63"/>
  <c r="D41" i="63"/>
  <c r="J34" i="63"/>
  <c r="I73" i="63"/>
  <c r="AE44" i="63"/>
  <c r="G48" i="63"/>
  <c r="N44" i="63"/>
  <c r="H34" i="63"/>
  <c r="S15" i="63"/>
  <c r="C34" i="63"/>
  <c r="Z15" i="63"/>
  <c r="AA12" i="63"/>
  <c r="X12" i="63"/>
  <c r="S44" i="63"/>
  <c r="U44" i="63"/>
  <c r="E4" i="72"/>
  <c r="G8" i="63"/>
  <c r="R58" i="63"/>
  <c r="E48" i="63"/>
  <c r="O8" i="63"/>
  <c r="K73" i="63"/>
  <c r="I12" i="63"/>
  <c r="N15" i="63"/>
  <c r="I25" i="63"/>
  <c r="E3" i="72" l="1"/>
  <c r="G4" i="72"/>
  <c r="G3" i="72" s="1"/>
  <c r="F4" i="72"/>
  <c r="F3" i="72" s="1"/>
  <c r="B12" i="63"/>
  <c r="H4" i="72"/>
  <c r="H3" i="72"/>
  <c r="B73" i="63" l="1"/>
  <c r="B8" i="63"/>
  <c r="B51" i="63"/>
  <c r="B15" i="63"/>
  <c r="B61" i="63"/>
  <c r="B37" i="63"/>
  <c r="B64" i="63"/>
  <c r="B29" i="63"/>
  <c r="B44" i="63"/>
  <c r="B19" i="63"/>
  <c r="B41" i="63"/>
  <c r="B69" i="63"/>
  <c r="B48" i="63"/>
  <c r="B25" i="63"/>
  <c r="B5" i="63"/>
  <c r="B22" i="63"/>
  <c r="B54" i="63"/>
  <c r="B34" i="63"/>
  <c r="B58" i="63"/>
</calcChain>
</file>

<file path=xl/sharedStrings.xml><?xml version="1.0" encoding="utf-8"?>
<sst xmlns="http://schemas.openxmlformats.org/spreadsheetml/2006/main" count="3085" uniqueCount="1145">
  <si>
    <t>A001</t>
  </si>
  <si>
    <t>A990</t>
  </si>
  <si>
    <t>C001</t>
  </si>
  <si>
    <t>C010</t>
  </si>
  <si>
    <t>C190</t>
  </si>
  <si>
    <t>C191</t>
  </si>
  <si>
    <t>C195</t>
  </si>
  <si>
    <t>C490</t>
  </si>
  <si>
    <t>C491</t>
  </si>
  <si>
    <t>C495</t>
  </si>
  <si>
    <t>C990</t>
  </si>
  <si>
    <t>D001</t>
  </si>
  <si>
    <t>D990</t>
  </si>
  <si>
    <t>F001</t>
  </si>
  <si>
    <t>F990</t>
  </si>
  <si>
    <t>I001</t>
  </si>
  <si>
    <t>I990</t>
  </si>
  <si>
    <t>M001</t>
  </si>
  <si>
    <t>M100</t>
  </si>
  <si>
    <t>M105</t>
  </si>
  <si>
    <t>M200</t>
  </si>
  <si>
    <t>M400</t>
  </si>
  <si>
    <t>M500</t>
  </si>
  <si>
    <t>M505</t>
  </si>
  <si>
    <t>M600</t>
  </si>
  <si>
    <t>M800</t>
  </si>
  <si>
    <t>M990</t>
  </si>
  <si>
    <t>P001</t>
  </si>
  <si>
    <t>P990</t>
  </si>
  <si>
    <t>Bloco 0: Abertura, Identificação e Referências</t>
  </si>
  <si>
    <t>Registro</t>
  </si>
  <si>
    <t>Descrição</t>
  </si>
  <si>
    <t>Abertura do Arquivo Digital e Identificação da Pessoa Jurídica</t>
  </si>
  <si>
    <t>Abertura do Bloco 0</t>
  </si>
  <si>
    <t>Dados do Contabilista</t>
  </si>
  <si>
    <t>Regimes de Apuração da Contribuição Social e de Apropriação de Crédito</t>
  </si>
  <si>
    <t>Tabela de Receita Bruta Mensal para Fins de Rateio de Créditos Comuns</t>
  </si>
  <si>
    <t>Identificação de Períodos dispensados da EFD Contribuições</t>
  </si>
  <si>
    <t>Tabela de Cadastro de Estabelecimento</t>
  </si>
  <si>
    <t>Regime de apuração da contribuição previdenciária sobre a receita bruta</t>
  </si>
  <si>
    <t>Tabela de Cadastro do Participante</t>
  </si>
  <si>
    <t>Identificação das Unidades de Medida</t>
  </si>
  <si>
    <t>Tabela de Identificação do Item (Produtos e Serviços)</t>
  </si>
  <si>
    <t>Alteração do Item</t>
  </si>
  <si>
    <t>Código de Produto conforme Tabela ANP (Combustíveis)</t>
  </si>
  <si>
    <t>Código de Grupos por Marca Comercial – REFRI (Bebidas Frias)</t>
  </si>
  <si>
    <t>Tabela de Natureza da Operação/ Prestação</t>
  </si>
  <si>
    <t>Tabela de Informação Complementar do Documento Fiscal</t>
  </si>
  <si>
    <t>Plano de Contas Contábeis – Contas Informadas</t>
  </si>
  <si>
    <t>Centro de Custos</t>
  </si>
  <si>
    <t>Encerramento do Bloco 0</t>
  </si>
  <si>
    <t>Bloco A: Abertura do Bloco A</t>
  </si>
  <si>
    <t>Abertura do Bloco A</t>
  </si>
  <si>
    <t>A010</t>
  </si>
  <si>
    <t>Identificação do Estabelecimento</t>
  </si>
  <si>
    <t>A100</t>
  </si>
  <si>
    <t>Documento – Nota Fiscal de Serviço</t>
  </si>
  <si>
    <t>A110</t>
  </si>
  <si>
    <t>Complemento de Documento – Informação Complementar da NF</t>
  </si>
  <si>
    <t>A111</t>
  </si>
  <si>
    <t>Processo Referenciado</t>
  </si>
  <si>
    <t>A120</t>
  </si>
  <si>
    <t>Informação Complementar – Operações de Importação</t>
  </si>
  <si>
    <t>A170</t>
  </si>
  <si>
    <t>Complemento de Documento – Itens do Documento</t>
  </si>
  <si>
    <t>Encerramento do Bloco A</t>
  </si>
  <si>
    <t>Bloco C: Abertura do Bloco C</t>
  </si>
  <si>
    <t>Abertura do Bloco C</t>
  </si>
  <si>
    <t>C100</t>
  </si>
  <si>
    <t>Documento - Nota Fiscal (código 01), Nota Fiscal Avulsa (código 1B), Nota Fiscal de Produtor (código 04) e NF-e (código 55)</t>
  </si>
  <si>
    <t>C110</t>
  </si>
  <si>
    <t>Complemento de Documento – Informação Complementar da Nota Fiscal (códigos 01, 1B, 04 e 55)</t>
  </si>
  <si>
    <t>C111</t>
  </si>
  <si>
    <t>C120</t>
  </si>
  <si>
    <t>Complemento de Documento – Operações de Importação (código 01)</t>
  </si>
  <si>
    <t>C170</t>
  </si>
  <si>
    <t>Complemento de Documento – Itens do Documento (códigos 01, 1B, 04 e 55)</t>
  </si>
  <si>
    <t>C175</t>
  </si>
  <si>
    <t>Registro Analítico do Documento (código 65)</t>
  </si>
  <si>
    <t>C180</t>
  </si>
  <si>
    <t>Consolidação de Notas Fiscais Eletrônicas Emitidas pela Pessoa Jurídica (Código 55) – Operações de Vendas</t>
  </si>
  <si>
    <t>C181</t>
  </si>
  <si>
    <t>Detalhamento da Consolidação - Operações de Vendas - PIS/PASEP</t>
  </si>
  <si>
    <t>C185</t>
  </si>
  <si>
    <t>Detalhamento da Consolidação - Operações de Vendas – COFINS</t>
  </si>
  <si>
    <t>C188</t>
  </si>
  <si>
    <t>Consolidação de Notas Fiscais Eletrônicas (Código 55) – Operações de Aquisição com Direito a Crédito, e Operações de Devolução de Compras e Vendas.</t>
  </si>
  <si>
    <t>Detalhamento da Consolidação – Operações de Aquisição com Direito a Crédito, e Operações de Devolução de Compras e Vendas – PIS/PASEP</t>
  </si>
  <si>
    <t>Detalhamento da Consolidação - Operações de Aquisição com Direito a Crédito, e Operações de Devolução de Compras e Vendas – COFINS</t>
  </si>
  <si>
    <t>C198</t>
  </si>
  <si>
    <t>C199</t>
  </si>
  <si>
    <t>Complemento de Documento – Operações de Importação (código 55)</t>
  </si>
  <si>
    <t>C380</t>
  </si>
  <si>
    <t>Consolidação de Documentos Emitidos por CST (Código 02)</t>
  </si>
  <si>
    <t>C381</t>
  </si>
  <si>
    <t>Detalhamento da Consolidação – PIS/PASEP</t>
  </si>
  <si>
    <t>C385</t>
  </si>
  <si>
    <t>Detalhamento da Consolidação – COFINS</t>
  </si>
  <si>
    <t>C395</t>
  </si>
  <si>
    <t>Notas Fiscais de Venda a Consumidor (Códigos 02, 2D e 2E) – Aquisições/Entradas com Crédito</t>
  </si>
  <si>
    <t>C396</t>
  </si>
  <si>
    <t>Itens do Documento (Códigos 02, 2D e 2E) – Aquisições/Entradas com Crédito</t>
  </si>
  <si>
    <t>C400</t>
  </si>
  <si>
    <t>Equipamento ECF (códigos 02 e 2D)</t>
  </si>
  <si>
    <t>C405</t>
  </si>
  <si>
    <t>Redução Z (códigos 02 e 2D)</t>
  </si>
  <si>
    <t>C481</t>
  </si>
  <si>
    <t>Resumo Diário de Documentos Emitidos por ECF – PIS/PASEP (Códigos 02 e 2D)</t>
  </si>
  <si>
    <t>C485</t>
  </si>
  <si>
    <t>Resumo Diário de Documentos Emitidos por ECF – COFINS (Códigos 02 e 2D)</t>
  </si>
  <si>
    <t>Consolidação de Documentos Emitidos por ECF (códigos 02 e 2D)</t>
  </si>
  <si>
    <t>Detalhamento da Consolidação de Documentos Emitidos por ECF (Códigos 02 e 2D) – PIS/PASEP</t>
  </si>
  <si>
    <t>Detalhamento da Consolidação de Documentos Emitidos por ECF (Códigos 02 e 2D) – COFINS</t>
  </si>
  <si>
    <t>C499</t>
  </si>
  <si>
    <t>Processo Referenciado - Documentos Emitidos Por ECF</t>
  </si>
  <si>
    <t>C500</t>
  </si>
  <si>
    <t>Nota Fiscal/Conta de Energia Elétrica (Código 06), Nota Fiscal/Conta de fornecimento D’água Canalizada (Código 29) e Nota Fiscal/Consumo Fornecimento de Gás (Código 28) – Documentos de Entrada / Aquisição</t>
  </si>
  <si>
    <t>C501</t>
  </si>
  <si>
    <t>Complemento da operação (Códigos 06, 28 e 29) – PIS/PASEP</t>
  </si>
  <si>
    <t>C505</t>
  </si>
  <si>
    <t>Complemento da operação (Códigos 06, 28 e 29) – COFINS</t>
  </si>
  <si>
    <t>C509</t>
  </si>
  <si>
    <t>C600</t>
  </si>
  <si>
    <t>Consolidação Diária de Notas Fiscais/Contas de Energia Elétrica (Código 06), Nota Fiscal/Conta de  Fornecimento d&amp;#39;água (Código 29) e Nota Fiscal/Conta de Fornecimento de Gás (Código 28) (Empresa Obrigadas ou Não Obrigadas Ao Convenio ICMS 115/03) - - Documentos de Saídas</t>
  </si>
  <si>
    <t>C601</t>
  </si>
  <si>
    <t>Complemento da Consolidação Diária (Códigos 06, 29 e 28) – Documentos de Saídas - PIS/PASEP</t>
  </si>
  <si>
    <t>C605</t>
  </si>
  <si>
    <t>Complemento da Consolidação Diária (Códigos 06, 29 e 28) – Documentos de Saídas – COFINS</t>
  </si>
  <si>
    <t>C609</t>
  </si>
  <si>
    <t>C800</t>
  </si>
  <si>
    <t>Cupom fiscal eletrônico (código 59)</t>
  </si>
  <si>
    <t>C810</t>
  </si>
  <si>
    <t>Detalhamento do cupom fiscal eletrônico (código 59) - PIS/PASEP e Cofins</t>
  </si>
  <si>
    <t>C820</t>
  </si>
  <si>
    <t>Detalhamento do cupom fiscal eletrônico (código 59) - PIS/PASEP e Cofins apurado por unidade de medida de produto</t>
  </si>
  <si>
    <t>C830</t>
  </si>
  <si>
    <t>Processo referenciado</t>
  </si>
  <si>
    <t>C860</t>
  </si>
  <si>
    <t>Identificação do equipamento SAT-CF-e</t>
  </si>
  <si>
    <t>C870</t>
  </si>
  <si>
    <t>Resumo diário de documentos emitidos por equipamento SAT-CF-e (código 59) - PIS/PASEP e Cofins</t>
  </si>
  <si>
    <t>C880</t>
  </si>
  <si>
    <t>Detalhamento do cupom fiscal eletrônico (código 59) -PIS/PASEP e Cofins apurado por unidade de medida de produto</t>
  </si>
  <si>
    <t>C890</t>
  </si>
  <si>
    <t>Encerramento do bloco c</t>
  </si>
  <si>
    <t>Bloco D: Abertura do Bloco D</t>
  </si>
  <si>
    <t>Abertura do Bloco D</t>
  </si>
  <si>
    <t>D010</t>
  </si>
  <si>
    <t>D100</t>
  </si>
  <si>
    <t>Aquisição de Serviços de Transportes (Códigos 07, 08, 8B, 09, 10, 11, 26, 27 e 57).</t>
  </si>
  <si>
    <t>D101</t>
  </si>
  <si>
    <t>Complemento do Documento de Transporte – PIS/PASEP</t>
  </si>
  <si>
    <t>D105</t>
  </si>
  <si>
    <t>Complemento do Documento de Transporte – COFINS</t>
  </si>
  <si>
    <t>D111</t>
  </si>
  <si>
    <t>D200</t>
  </si>
  <si>
    <t>Resumo da Escrituração Diária – Prestação de Serviços de Transportes (Códigos 07, 08, 8B, 09, 10, 11, 26, 27 e 57).</t>
  </si>
  <si>
    <t>D201</t>
  </si>
  <si>
    <t>Totalização do Resumo Diário – PIS/PASEP</t>
  </si>
  <si>
    <t>D205</t>
  </si>
  <si>
    <t>Totalização do Resumo Diário – COFINS</t>
  </si>
  <si>
    <t>D209</t>
  </si>
  <si>
    <t>D300</t>
  </si>
  <si>
    <t>Resumo da Escrituração Diária (Códigos13, 14, 15 e 16).</t>
  </si>
  <si>
    <t>D350</t>
  </si>
  <si>
    <t>Resumo Diário de Cupom Fiscal Emitido por ECF (Códigos 2E, 13, 14, 15 e 16)</t>
  </si>
  <si>
    <t>D359</t>
  </si>
  <si>
    <t>D500</t>
  </si>
  <si>
    <t>Nota Fiscal de Serviço de Comunicação (Código 21) e Serviço de Telecomunicação (Código 22) - Operação de Aquisição com Direito a Crédito</t>
  </si>
  <si>
    <t>D501</t>
  </si>
  <si>
    <t>Complemento da Operação (Código 21 e 22) – PIS/PASEP</t>
  </si>
  <si>
    <t>D505</t>
  </si>
  <si>
    <t>Complemento da Operação (Código 21 e 22) – COFINS</t>
  </si>
  <si>
    <t>D509</t>
  </si>
  <si>
    <t>D600</t>
  </si>
  <si>
    <t>Consolidação da Prestação de Serviços – Notas de Serviço de Comunicação (Código 21) e de Serviço de Telecomunicação (Código 22)</t>
  </si>
  <si>
    <t>D601</t>
  </si>
  <si>
    <t>Complemento da Consolidação da Prestação de Serviços (Código 21 e 22) – PIS/PASEP</t>
  </si>
  <si>
    <t>D605</t>
  </si>
  <si>
    <t>Complemento da Consolidação da Prestação de Serviços (Código 21 e 22) – COFINS</t>
  </si>
  <si>
    <t>D609</t>
  </si>
  <si>
    <t>Encerramento do Bloco D</t>
  </si>
  <si>
    <t>Bloco F: Abertura do Bloco F</t>
  </si>
  <si>
    <t>Abertura do Bloco F</t>
  </si>
  <si>
    <t>F010</t>
  </si>
  <si>
    <t>F100</t>
  </si>
  <si>
    <t>Demais Documentos e Operações Geradoras de Contribuição e Créditos</t>
  </si>
  <si>
    <t>F111</t>
  </si>
  <si>
    <t>F120</t>
  </si>
  <si>
    <t>Bens Incorporados ao Ativo Imobilizado – Operações Geradoras de Créditos com base nos Encargos de Depreciação/Amortização</t>
  </si>
  <si>
    <t>F129</t>
  </si>
  <si>
    <t>F130</t>
  </si>
  <si>
    <t>Bens Incorporados ao Ativo Imobilizado – Operações Geradoras de Créditos com base no Valor de Aquisição</t>
  </si>
  <si>
    <t>F139</t>
  </si>
  <si>
    <t>F150</t>
  </si>
  <si>
    <t>Crédito Presumido sobre Estoque de Abertura</t>
  </si>
  <si>
    <t>F200</t>
  </si>
  <si>
    <t>Operações da Atividade Imobiliária – Unidade Imobiliária Vendida</t>
  </si>
  <si>
    <t>F205</t>
  </si>
  <si>
    <t>Operações da Atividade Imobiliária – Custo Incorrido da Unidade Imobiliária</t>
  </si>
  <si>
    <t>F210</t>
  </si>
  <si>
    <t>Operações da Atividade Imobiliária – Custo Orçado da Unidade Imobiliária Vendida</t>
  </si>
  <si>
    <t>F211</t>
  </si>
  <si>
    <t>F500</t>
  </si>
  <si>
    <t>Lucro Presumido - Incidência do PIS/Pasep e da COFINS pelo Regime de Caixa</t>
  </si>
  <si>
    <t>F509</t>
  </si>
  <si>
    <t>F510</t>
  </si>
  <si>
    <t>Contribuição por Unidade de Medida de Produto pelo Regime de Caixa</t>
  </si>
  <si>
    <t>F519</t>
  </si>
  <si>
    <t>F525</t>
  </si>
  <si>
    <t>Detalhamento da Receita Recebida pelo Regime de Caixa</t>
  </si>
  <si>
    <t>F550</t>
  </si>
  <si>
    <t>Lucro Presumido - Incidência do PIS/Pasep e da COFINS pelo Regime de Competência</t>
  </si>
  <si>
    <t>F559</t>
  </si>
  <si>
    <t>F560</t>
  </si>
  <si>
    <t>Contribuição por Unidade de Medida de Produto pelo Regime de Competência</t>
  </si>
  <si>
    <t>F569</t>
  </si>
  <si>
    <t>F600</t>
  </si>
  <si>
    <t>Contribuição Retida na Fonte</t>
  </si>
  <si>
    <t>F700</t>
  </si>
  <si>
    <t>Deduções Diversas</t>
  </si>
  <si>
    <t>F800</t>
  </si>
  <si>
    <t>Créditos Decorrentes de Eventos de Incorporação, Fusão e Cisão</t>
  </si>
  <si>
    <t>Encerramento do Bloco F</t>
  </si>
  <si>
    <t>Bloco I: Abertura do Bloco I</t>
  </si>
  <si>
    <t>Abertura do Bloco I</t>
  </si>
  <si>
    <t>I010</t>
  </si>
  <si>
    <t>Identificação da Pessoa Jurídica/Estabelecimento</t>
  </si>
  <si>
    <t>I100</t>
  </si>
  <si>
    <t>Consolidação das Operações do Período</t>
  </si>
  <si>
    <t>I200</t>
  </si>
  <si>
    <t>Composição das Receitas, Deduções e/ou Exclusões do Período</t>
  </si>
  <si>
    <t>I299</t>
  </si>
  <si>
    <t>I300</t>
  </si>
  <si>
    <t>Complemento das Operações - Detalhamento das Receitas, Deduções e/ou Exclusões do Período</t>
  </si>
  <si>
    <t>I399</t>
  </si>
  <si>
    <t>Encerramento do Bloco I</t>
  </si>
  <si>
    <t>Bloco M: Abertura do Bloco M  - Os registros que não possuem link para o leiaute estão indisponíveis.</t>
  </si>
  <si>
    <t>Abertura do Bloco M</t>
  </si>
  <si>
    <t>Crédito de PIS/PASEP Relativo ao Período</t>
  </si>
  <si>
    <t>Detalhamento da Base de Cálculo do Crédito Apurado no Período – PIS/PASEP</t>
  </si>
  <si>
    <t>M110</t>
  </si>
  <si>
    <t>Ajustes do Crédito de PIS/PASEP Apurado</t>
  </si>
  <si>
    <t>Consolidação da Contribuição para o PIS/PASEP do Período</t>
  </si>
  <si>
    <t>M205</t>
  </si>
  <si>
    <t>Detalhamento da Contribuição para o PIS/PASEP do Período</t>
  </si>
  <si>
    <t>M210</t>
  </si>
  <si>
    <t>M211</t>
  </si>
  <si>
    <t>Sociedades Cooperativas – Composição da Base de Cálculo – PIS/PASEP</t>
  </si>
  <si>
    <t>M215</t>
  </si>
  <si>
    <t>Detalhamento dos Ajustes da Base de Cálculo Mensal de PIS/Pasep Apurada</t>
  </si>
  <si>
    <t>M220</t>
  </si>
  <si>
    <t>Ajustes da Contribuição para o PIS/PASEP Apurada</t>
  </si>
  <si>
    <t>M230</t>
  </si>
  <si>
    <t>Informações Adicionais de Deferimento</t>
  </si>
  <si>
    <t>M300</t>
  </si>
  <si>
    <t>Contribuição de PIS/PASEP Diferida em Períodos Anteriores - Valores a Pagar no Período</t>
  </si>
  <si>
    <t>M350</t>
  </si>
  <si>
    <t>PIS/PASEP - Folha de Salários</t>
  </si>
  <si>
    <t>Receitas Isentas, Não Alcançadas pela Incidência da Contribuição, Sujeitas à Alíquota Zero ou de Vendas com Suspensão – PIS/PASEP</t>
  </si>
  <si>
    <t>M410</t>
  </si>
  <si>
    <t>Detalhamento das Receitas Isentas, Não Alcançadas pela Incidência da Contribuição, Sujeitas à Alíquota Zero ou de Vendas com Suspensão – PIS/PASEP</t>
  </si>
  <si>
    <t>Crédito de COFINS Relativo ao Período</t>
  </si>
  <si>
    <t>Detalhamento da Base de Cálculo do Crédito Apurado no Período – COFINS</t>
  </si>
  <si>
    <t>M510</t>
  </si>
  <si>
    <t>Ajustes do Crédito de COFINS Apurado</t>
  </si>
  <si>
    <t>Consolidação da Contribuição para a Seguridade Social - COFINS do Período</t>
  </si>
  <si>
    <t>M610</t>
  </si>
  <si>
    <t>Detalhamento da Contribuição para a Seguridade Social - COFINS do Período</t>
  </si>
  <si>
    <t>M611</t>
  </si>
  <si>
    <t>Sociedades Cooperativas – Composição da Base de Cálculo – COFINS</t>
  </si>
  <si>
    <t>M615</t>
  </si>
  <si>
    <t>Detalhamento dos Ajustes da Base de Cálculo Mensal de COFINS Apurada</t>
  </si>
  <si>
    <t>M620</t>
  </si>
  <si>
    <t>Ajustes da COFINS Apurada</t>
  </si>
  <si>
    <t>M630</t>
  </si>
  <si>
    <t>M700</t>
  </si>
  <si>
    <t>COFINS Diferida em Períodos Anteriores - Valores a Pagar no Período</t>
  </si>
  <si>
    <t>Receitas Isentas, Não Alcançadas pela Incidência da Contribuição, Sujeitas à Alíquota Zero ou de Vendas com Suspensão – COFINS</t>
  </si>
  <si>
    <t>M810</t>
  </si>
  <si>
    <t>Detalhamento das Receitas Isentas, Não Alcançadas pela Incidência da Contribuição, Sujeitas à Alíquota Zero ou de Vendas com Suspensão – COFINS</t>
  </si>
  <si>
    <t>Encerramento do Bloco M</t>
  </si>
  <si>
    <t>Bloco P:  Apuração da Contribuição Previdenciária sobre a Receita Bruta</t>
  </si>
  <si>
    <t>Abertura do Bloco P</t>
  </si>
  <si>
    <t>P010</t>
  </si>
  <si>
    <t>P100</t>
  </si>
  <si>
    <t>Contribuição Previdenciária sobre a Receita Bruta</t>
  </si>
  <si>
    <t>P110</t>
  </si>
  <si>
    <t>Complemento da Escrituração - Detalhamento da Apuração da Contribuição</t>
  </si>
  <si>
    <t>P199</t>
  </si>
  <si>
    <t>P200</t>
  </si>
  <si>
    <t>Consolidação da Contribuição Previdenciária sobre a Receita Bruta</t>
  </si>
  <si>
    <t>P210</t>
  </si>
  <si>
    <t>Ajuste da Contribuição Previdenciária Apurada sobre a Receita Bruta</t>
  </si>
  <si>
    <t>Encerramento do bloco P</t>
  </si>
  <si>
    <t>Bloco 1: Abertura do Bloco 1 - Os registros que não possuem link para o leiaute estão indisponíveis.</t>
  </si>
  <si>
    <t>Abertura do Bloco 1</t>
  </si>
  <si>
    <t>Processo Referenciado – Ação Judicial</t>
  </si>
  <si>
    <t>Processo Referenciado – Processo Administrativo</t>
  </si>
  <si>
    <t>Detalhamento dos Ajustes da Base de Cálculo Mensal de PIS/Pasep e COFINS – Valores Extra Escrituração</t>
  </si>
  <si>
    <t>Controle de Créditos Fiscais – PIS/PASEP</t>
  </si>
  <si>
    <t>Apuração de Crédito Extemporâneo - Documentos e Operações de Períodos Anteriores – PIS/PASEP</t>
  </si>
  <si>
    <t>Detalhamento do Crédito Extemporâneo, Vinculado a mais de um Tipo de Receita – PIS/PASEP</t>
  </si>
  <si>
    <t>Contribuição Social Extemporânea – PIS/PASEP</t>
  </si>
  <si>
    <t>Detalhamento da Contribuição Social Extemporânea – PIS/PASEP</t>
  </si>
  <si>
    <t>Demonstração do Crédito a Descontar da Contribuição Extemporânea – PIS/PASEP</t>
  </si>
  <si>
    <t>Controle dos Valores Retidos na Fonte – PIS/PASEP</t>
  </si>
  <si>
    <t>Controle de Créditos Fiscais – COFINS</t>
  </si>
  <si>
    <t>Apuração de Crédito Extemporâneo - Documentos e Operações de Períodos Anteriores – COFINS</t>
  </si>
  <si>
    <t>Detalhamento do Crédito Extemporâneo, Vinculado a mais de um Tipo de Receita – COFINS</t>
  </si>
  <si>
    <t>Contribuição Social Extemporânea – COFINS</t>
  </si>
  <si>
    <t>Detalhamento da Contribuição Social Extemporânea – COFINS</t>
  </si>
  <si>
    <t>Demonstração do Crédito a Descontar da Contribuição Extemporânea – COFINS</t>
  </si>
  <si>
    <t>Controle dos Valores Retidos na Fonte – COFINS</t>
  </si>
  <si>
    <t>Incorporação Imobiliária – RET</t>
  </si>
  <si>
    <t>Consolidação dos documentos emitidos no Período por Pessoa Jurídica submetida ao Regime de Tributação com base no Lucro Presumido – Regime de Caixa ou de Competência</t>
  </si>
  <si>
    <t>Encerramento do Bloco 1</t>
  </si>
  <si>
    <t>Bloco 9: Abertura do Bloco 9</t>
  </si>
  <si>
    <t>Abertura do Bloco 9</t>
  </si>
  <si>
    <t>Registros do Arquivo</t>
  </si>
  <si>
    <t>Encerramento do Bloco 9</t>
  </si>
  <si>
    <t>Encerramento do Arquivo Digital</t>
  </si>
  <si>
    <t>Layout - SPED Contribuições (PIS/COFINS)</t>
  </si>
  <si>
    <t>Leiaute - SPED Fiscal (EFD ICMS/IPI)</t>
  </si>
  <si>
    <t>Bloco 0:</t>
  </si>
  <si>
    <t>Principal origem no sistema</t>
  </si>
  <si>
    <t>Abertura do Arquivo Digital e Identificação da entidade</t>
  </si>
  <si>
    <t>E070FIL</t>
  </si>
  <si>
    <t>-</t>
  </si>
  <si>
    <t>Dados Complementares da entidade</t>
  </si>
  <si>
    <t>Dados do Contribuinte Substituto ou Responsável pelo ICMS Destino</t>
  </si>
  <si>
    <t>E009PPE</t>
  </si>
  <si>
    <t>E070CTB</t>
  </si>
  <si>
    <t>E085CLI, E095FOR, E073TRA, E066OPE e E070FIL</t>
  </si>
  <si>
    <t>Alteração da Tabela de Cadastro de Participante</t>
  </si>
  <si>
    <t>E085VCL, E09VFO, E073VTR</t>
  </si>
  <si>
    <t>Identificação das unidades de medida</t>
  </si>
  <si>
    <t>E015MED</t>
  </si>
  <si>
    <t>E075PRO, E080SER, E670BEM, E660INC, E660INV</t>
  </si>
  <si>
    <t>E075VPR, E075VDR</t>
  </si>
  <si>
    <t>Código de produto conforme Tabela ANP (Combustíveis)</t>
  </si>
  <si>
    <t>E075PRO</t>
  </si>
  <si>
    <t>Consumo específico padronizado</t>
  </si>
  <si>
    <t>E660FTE e E660CFT</t>
  </si>
  <si>
    <t>Fatores de Conversão de Unidades</t>
  </si>
  <si>
    <t>E015TCU</t>
  </si>
  <si>
    <t>Cadastros de Bens ou Componentes do Ativo Imobilizado</t>
  </si>
  <si>
    <t>E670BEM</t>
  </si>
  <si>
    <t>Informações sobre a Utilização do Bem</t>
  </si>
  <si>
    <t>E001TNS</t>
  </si>
  <si>
    <t>Tabela de Informação Complementar do documento fiscal</t>
  </si>
  <si>
    <t>E024MSG</t>
  </si>
  <si>
    <t>Tabela de Observações do Lançamento Fiscal</t>
  </si>
  <si>
    <t>E051DIS</t>
  </si>
  <si>
    <t>Plano de Contas Contábeis</t>
  </si>
  <si>
    <t>E045PLA</t>
  </si>
  <si>
    <t>E044CCU</t>
  </si>
  <si>
    <t>Bloco B</t>
  </si>
  <si>
    <t>B001</t>
  </si>
  <si>
    <t>Abertura do Bloco B</t>
  </si>
  <si>
    <t>B020</t>
  </si>
  <si>
    <t>Nota fiscal (código 01), Nota fiscal de serviços (código 03), Nota fiscal de serviços avulsa (Código 3B), Nota fiscal de produtor (Código 04), Conhecimento de Transporte Rodoviário de Cargas (Código 08), NF-e (Código 55) e NFC-e (Código 65).</t>
  </si>
  <si>
    <t>Tabelas de notas fiscais.</t>
  </si>
  <si>
    <t>B025</t>
  </si>
  <si>
    <t>Detalhamento por combinação de alíquota e item da lista de serviços da LC 116/2003</t>
  </si>
  <si>
    <t>B030</t>
  </si>
  <si>
    <t>Nota fiscal de serviços simplificada (Código 3A)</t>
  </si>
  <si>
    <t>B035</t>
  </si>
  <si>
    <t>B350</t>
  </si>
  <si>
    <t>Serviços prestados por instituições financeiras</t>
  </si>
  <si>
    <t>Conforme customização do usuário.</t>
  </si>
  <si>
    <t>B420</t>
  </si>
  <si>
    <t>Totalização dos valores de serviços prestados por combinação de alíquota e item da lista de serviços da LC 116/2003</t>
  </si>
  <si>
    <t>B440</t>
  </si>
  <si>
    <t>Totalização dos valores retidos</t>
  </si>
  <si>
    <t>B460</t>
  </si>
  <si>
    <t>Deduções do ISS</t>
  </si>
  <si>
    <t>B470</t>
  </si>
  <si>
    <t>Apuração do ISS</t>
  </si>
  <si>
    <t>B500</t>
  </si>
  <si>
    <t>Apuração do ISS Sociedade Uniprofissional</t>
  </si>
  <si>
    <t>B510</t>
  </si>
  <si>
    <t>Uniprofissional - Empregados e Sócios</t>
  </si>
  <si>
    <t>B990</t>
  </si>
  <si>
    <t>Encerramento do Bloco B</t>
  </si>
  <si>
    <t>Bloco C</t>
  </si>
  <si>
    <t>Documento - Nota Fiscal (código 01), Nota Fiscal Avulsa (código 1B), Nota Fiscal de Produtor (código 04) e Nota Fiscal Eletrônica (código 55)</t>
  </si>
  <si>
    <t>E660NFC e E660NFV</t>
  </si>
  <si>
    <t>C101</t>
  </si>
  <si>
    <t>Informação Complementar dos Documentos Fiscais quando das Operações Interestaduais Destinadas a Consumidor Final Não Contribuinte EC 87/15</t>
  </si>
  <si>
    <t>E0660NFC e E660NFV</t>
  </si>
  <si>
    <t>Complemento de Documento - Informação Complementar da Nota Fiscal (código 01, 1B, 55)</t>
  </si>
  <si>
    <t>Complemento de Documento - Processo referenciado</t>
  </si>
  <si>
    <t>C112</t>
  </si>
  <si>
    <t>Complemento de Documento - Documento de Arrecadação Referenciado</t>
  </si>
  <si>
    <t>E661GRI</t>
  </si>
  <si>
    <t>C113</t>
  </si>
  <si>
    <t>Complemento de Documento - Documento Fiscal Referenciado</t>
  </si>
  <si>
    <t>E660DPR, E660LNC, E660INC, E660LNV, E660INV</t>
  </si>
  <si>
    <t>C114</t>
  </si>
  <si>
    <t>Complemento de Documento - Cupom Fiscal Referenciado</t>
  </si>
  <si>
    <t>E660REZ</t>
  </si>
  <si>
    <t>C115</t>
  </si>
  <si>
    <t>Complemento de Documento - Local da Coleta e Entrega (código 01, 1B e 04)</t>
  </si>
  <si>
    <t>E660NFV</t>
  </si>
  <si>
    <t>C116</t>
  </si>
  <si>
    <t>Cupom Fiscal Eletrônico - CF-e referenciado</t>
  </si>
  <si>
    <t>Cadastro de Declarações</t>
  </si>
  <si>
    <t>Complemento de Documento - Operações de Importação (código 01)</t>
  </si>
  <si>
    <t>E660NFC</t>
  </si>
  <si>
    <t>C130</t>
  </si>
  <si>
    <t>Complemento de Documento - ISSQN, IRRF e Previdência Social</t>
  </si>
  <si>
    <t>C140</t>
  </si>
  <si>
    <t>Complemento de Documento - Fatura (código 01)</t>
  </si>
  <si>
    <t>E660PAC e E660PAV</t>
  </si>
  <si>
    <t>C141</t>
  </si>
  <si>
    <t>Complemento de Documento - Vencimento da Fatura (código 01)</t>
  </si>
  <si>
    <t>C160</t>
  </si>
  <si>
    <t>Complemento de Documento - Volumes Transportados (código 01 e 04) Exceto Combustíveis</t>
  </si>
  <si>
    <t>C165</t>
  </si>
  <si>
    <t>Complemento de Documento - Operações com combustíveis (código 01,55)</t>
  </si>
  <si>
    <t>Complemento de Documento - Itens do Documento (código 01, 1B, 04 e 55)</t>
  </si>
  <si>
    <t>E660INCe E660INV</t>
  </si>
  <si>
    <t>C171</t>
  </si>
  <si>
    <t>Complemento de Item - Armazenamento de Combustíveis (código 01,55)</t>
  </si>
  <si>
    <t>C172</t>
  </si>
  <si>
    <t>Complemento de Item - Operações com ISSQN (código 01)</t>
  </si>
  <si>
    <t>E660INV</t>
  </si>
  <si>
    <t>C173</t>
  </si>
  <si>
    <t>Complemento de Item - Operações com Medicamentos (código 01,55)</t>
  </si>
  <si>
    <t>E660DLC e E660DLV</t>
  </si>
  <si>
    <t>C174</t>
  </si>
  <si>
    <t>Complemento de Item - Operações com Armas de Fogo (código 01)</t>
  </si>
  <si>
    <t>E660DLV e E075CPR</t>
  </si>
  <si>
    <t>Complemento de Item - Operações com Veículos Novos (código 01,55)</t>
  </si>
  <si>
    <t>C176</t>
  </si>
  <si>
    <t>Complemento de Item -Ressarcimento de ICMS em operações com Substituição Tributária (código 01,55)</t>
  </si>
  <si>
    <t>E660NFC e E660INC</t>
  </si>
  <si>
    <t>C177</t>
  </si>
  <si>
    <t>Complemento de Item - Operações com Produtos Sujeitos a Selo de Controle IPI (código 01)</t>
  </si>
  <si>
    <t>C178</t>
  </si>
  <si>
    <t>Complemento de Item - Operações com Produtos Sujeitos a Tributação de IPI por Unidade ou Quantidade de produto</t>
  </si>
  <si>
    <t>C179</t>
  </si>
  <si>
    <t>Complemento de Item - Informações Complementares ST (código 01)</t>
  </si>
  <si>
    <t>E660INC e E660INV</t>
  </si>
  <si>
    <t>Registro Analítico do Documento (código 01, 1B, 04 e 55)</t>
  </si>
  <si>
    <t>E660NFC, E660NFV, E660INCe E660INV</t>
  </si>
  <si>
    <t>Informações do Fundo de Combate à Pobreza - FCP - Na NF-e e Código 55.</t>
  </si>
  <si>
    <t>Complemento do Registro Analítico - Observações do Lançamento Fiscal (código 01, 1B e 55)</t>
  </si>
  <si>
    <t>C197</t>
  </si>
  <si>
    <t>Outras Obrigações Tributárias, Ajustes e Informações provenientes de Documento Fiscal</t>
  </si>
  <si>
    <t>C300</t>
  </si>
  <si>
    <t>Documento - Resumo Diário das Notas Fiscais de Venda a Consumidor (código 02)</t>
  </si>
  <si>
    <t>C310</t>
  </si>
  <si>
    <t>Documentos Cancelados de Nota Fiscal de Venda a Consumidor (código 02)</t>
  </si>
  <si>
    <t>C320</t>
  </si>
  <si>
    <t>Registro Analítico das Notas Fiscais de Venda a Consumidor (código 02)</t>
  </si>
  <si>
    <t>C321</t>
  </si>
  <si>
    <t>Itens dos Resumos Diários dos Documentos (código 02)</t>
  </si>
  <si>
    <t>C350</t>
  </si>
  <si>
    <t>Nota Fiscal de venda a consumidor (código 02)</t>
  </si>
  <si>
    <t>C370</t>
  </si>
  <si>
    <t>Itens do documento (código 02)</t>
  </si>
  <si>
    <t>C390</t>
  </si>
  <si>
    <t>Equipamento ECF (código 02 e 2D)</t>
  </si>
  <si>
    <t>E660TOF e E660REZ</t>
  </si>
  <si>
    <t>Redução Z (código 02 e 2D)</t>
  </si>
  <si>
    <t>C410</t>
  </si>
  <si>
    <t>PIS e COFINS Totalizados no Dia (código 02 e 2D)</t>
  </si>
  <si>
    <t>C420</t>
  </si>
  <si>
    <t>Registro dos Totalizadores Parciais da Redução Z (código 02 e 2D)</t>
  </si>
  <si>
    <t>C425</t>
  </si>
  <si>
    <t>Resumo de itens do movimento diário (código 02 e 2D)</t>
  </si>
  <si>
    <t>E660IRZ</t>
  </si>
  <si>
    <t>C460</t>
  </si>
  <si>
    <t>Documento Fiscal Emitido por ECF (código 02, 2D e 60)</t>
  </si>
  <si>
    <t>C470</t>
  </si>
  <si>
    <t>Itens do Documento Fiscal Emitido por ECF (código 02 e 2D)</t>
  </si>
  <si>
    <t>Registro Analítico do movimento diário (código 02, 2D, 59 e 60)</t>
  </si>
  <si>
    <t>Resumo Mensal de Itens do ECF por Estabelecimento (código 02 e 2D e 2E)</t>
  </si>
  <si>
    <t>Nota Fiscal/Conta de Energia Elétrica (código 06) e Nota Fiscal/Consumo Fornecimento de Gás (Código 28)</t>
  </si>
  <si>
    <t>C510</t>
  </si>
  <si>
    <t>Itens do Documento - Nota Fiscal/Conta de Energia Elétrica (código 06) e Nota Fiscal/Conta Fornecimento de Gás (Código 28)</t>
  </si>
  <si>
    <t>C590</t>
  </si>
  <si>
    <t>Registro Analítico do Documento - Nota Fiscal/Conta de Energia Elétrica (código 06) e Nota Fiscal/Conta Fornecimento de Gás (Código 28)</t>
  </si>
  <si>
    <t>Consolidação Diária de Notas Fiscais/Contas de Energia Elétrica (Código 06), Nota Fiscal/Conta de Fornecimento d´água (código 29) e Nota Fiscal/Conta de Fornecimento de Gás (Código 28) - (Empresas não obrigadas ao Convênio ICMS 115/03)</t>
  </si>
  <si>
    <t>Documentos cancelados - Consolidação diária de notas fiscais/conta de energia elétrica (Código 06), nota fiscal/conta de fornecimento de água (código 29) e nota fiscal/conta de fornecimento de gás (código 28)</t>
  </si>
  <si>
    <t>C610</t>
  </si>
  <si>
    <t>Itens do Documento Consolidado - Notas Fiscais/Contas de Energia Elétrica (Código 06), Nota Fiscal/Conta de Fornecimento d´água (código 29) e Nota Fiscal/Conta de Fornecimento de Gás (Código 28) - (Empresas não obrigadas ao Convênio ICMS 115/03)</t>
  </si>
  <si>
    <t>C690</t>
  </si>
  <si>
    <t>Registro Analítico dos Documentos - Notas Fiscais/Contas de Energia Elétrica (Código 06), Nota Fiscal/Conta de Fornecimento d´água (código 29) e Nota Fiscal/Conta de Fornecimento de Gás (Código 28)</t>
  </si>
  <si>
    <t>C700</t>
  </si>
  <si>
    <t>Consolidação dos Documentos Nota Fiscal/Conta Energia Elétrica (código 06) emitidas em via única - (Empresas obrigadas ao Convênio ICMS115/03)</t>
  </si>
  <si>
    <t>C790</t>
  </si>
  <si>
    <t>Registro Analítico dos Documentos - Nota Fiscal/Conta Energia Elétrica (código 06) emitidas em via única</t>
  </si>
  <si>
    <t>C791</t>
  </si>
  <si>
    <t>Registro de Informações de ICMS ST por UF</t>
  </si>
  <si>
    <t>Cupom Fiscal Eletrônico (CÓDIGO 59)</t>
  </si>
  <si>
    <t>E660REZ e E660IRZ</t>
  </si>
  <si>
    <t>C850</t>
  </si>
  <si>
    <t>Registro Analítico DO CF-E (CODIGO 59)</t>
  </si>
  <si>
    <t>Identificação do Equipamento SAT-CF-E</t>
  </si>
  <si>
    <t>Resumo Diário do CF-E (CÓDIGO 59) por equipamento SAT-CF-E</t>
  </si>
  <si>
    <t>Encerramento do Bloco C</t>
  </si>
  <si>
    <t>Bloco D</t>
  </si>
  <si>
    <t>Nota Fiscal de Serviço de Transporte (código 07) e Conhecimentos de Transporte Rodoviário de Cargas (código 08), Aquaviário de Cargas (código 09), Aéreo (código 10), Ferroviário de Cargas (código 11) e Multimodal de Cargas (código 26) e Nota Fiscal de Transporte Ferroviário de Cargas(código 27). Conhecimento de Transporte de Cargas Avulso (Código 8B)</t>
  </si>
  <si>
    <t>D110</t>
  </si>
  <si>
    <t>Itens do documento - Nota Fiscal de Serviços de Transporte (código 07)</t>
  </si>
  <si>
    <t>D120</t>
  </si>
  <si>
    <t>Complemento da Nota Fiscal de Serviços de Transporte (código 07)</t>
  </si>
  <si>
    <t>D130</t>
  </si>
  <si>
    <t>Complemento do Conhecimento Rodoviário de Cargas (código 08), Conhecimento de Transporte de Cargas Avulso (Código 8B)</t>
  </si>
  <si>
    <t>D140</t>
  </si>
  <si>
    <t>Complemento do Conhecimento Aquaviário de Cargas (código 09)</t>
  </si>
  <si>
    <t>D150</t>
  </si>
  <si>
    <t>Complemento do Conhecimento Aéreo de Cargas (código 10)</t>
  </si>
  <si>
    <t>D160</t>
  </si>
  <si>
    <t>Carga Transportada (código 07, 08, 09, 10, 11, 26 e 27) ,Conhecimento de Transporte de Cargas Avulso (Código 8B)</t>
  </si>
  <si>
    <t>E660CCT</t>
  </si>
  <si>
    <t>D161</t>
  </si>
  <si>
    <t>Local de Coleta e Entrega (código 07, 08, 09, 10, 11, 26 e 27), Conhecimento de Transporte de Cargas Avulso (Código 8B)</t>
  </si>
  <si>
    <t>D162</t>
  </si>
  <si>
    <t>Identificação dos Documentos Fiscais (Código 08, 8B, 09, 10, 11, 26 e 27)</t>
  </si>
  <si>
    <t>D170</t>
  </si>
  <si>
    <t>Complemento do Conhecimento Multimodal de Cargas (código 26)</t>
  </si>
  <si>
    <t>D180</t>
  </si>
  <si>
    <t>Modais (código 26)</t>
  </si>
  <si>
    <t>D190</t>
  </si>
  <si>
    <t>Registro Analítico dos Documentos (CÓDIGO 07, 08, 09, 10, 11, 26 e 27), Conhecimento de Transporte de Cargas Avulso (Código 8B)</t>
  </si>
  <si>
    <t>D195</t>
  </si>
  <si>
    <t>Observações do Lançamento Fiscal</t>
  </si>
  <si>
    <t>D197</t>
  </si>
  <si>
    <t>Outras obrigações tributárias, ajustes e informações de valores provenientes de documento fiscal</t>
  </si>
  <si>
    <t>Registro Analítico dos bilhetes consolidados de Passagem Rodoviário (código 13), de Passagem Aquaviário (código 14), de Passagem e Nota de Bagagem (código 15) e de Passagem Ferroviário (código 16)</t>
  </si>
  <si>
    <t>D301</t>
  </si>
  <si>
    <t>Documentos cancelados dos Bilhetes de Passagem Rodoviário (código 13), de Passagem Aquaviário (código 14), de Passagem e Nota de Bagagem (código 15) e de Passagem Ferroviário (código 16)</t>
  </si>
  <si>
    <t>D310</t>
  </si>
  <si>
    <t>Complemento dos Bilhetes (código 13, código 14, código 15 e código 16)</t>
  </si>
  <si>
    <t>Equipamento ECF (Códigos 2E, 13, 14, 15 e 16)</t>
  </si>
  <si>
    <t>D355</t>
  </si>
  <si>
    <t>Redução Z (Códigos 2E, 13, 14, 15 e 16)</t>
  </si>
  <si>
    <t>D360</t>
  </si>
  <si>
    <t>PIS E COFINS totalizados no dia (Códigos 2E, 13, 14, 15 e 16)</t>
  </si>
  <si>
    <t>D365</t>
  </si>
  <si>
    <t>Registro dos Totalizadores Parciais da Redução Z (Códigos 2E, 13, 14, 15 e 16)</t>
  </si>
  <si>
    <t>D370</t>
  </si>
  <si>
    <t>Complemento dos documentos informados (Códigos 13, 14, 15, 16 E 2E)</t>
  </si>
  <si>
    <t>D390</t>
  </si>
  <si>
    <t>Registro analítico do movimento diário (Códigos 13, 14, 15, 16 E 2E)</t>
  </si>
  <si>
    <t>D400</t>
  </si>
  <si>
    <t>Resumo do Movimento Diário (código 18)</t>
  </si>
  <si>
    <t>D410</t>
  </si>
  <si>
    <t>Documentos Informados (Códigos 13, 14, 15 e 16)</t>
  </si>
  <si>
    <t>D411</t>
  </si>
  <si>
    <t>Documentos Cancelados dos Documentos Informados (Códigos 13, 14, 15 e 16)</t>
  </si>
  <si>
    <t>D420</t>
  </si>
  <si>
    <t>Complemento dos Documentos Informados (Códigos 13, 14, 15 e 16)</t>
  </si>
  <si>
    <t>Nota Fiscal de Serviço de Comunicação (código 21) e Serviço de Telecomunicação (código 22)</t>
  </si>
  <si>
    <t>D510</t>
  </si>
  <si>
    <t>Itens do Documento - Nota Fiscal de Serviço de Comunicação (código 21) e Serviço de Telecomunicação (código 22)</t>
  </si>
  <si>
    <t>D530</t>
  </si>
  <si>
    <t>Terminal Faturado</t>
  </si>
  <si>
    <t>D590</t>
  </si>
  <si>
    <t>Registro Analítico do Documento (códigos 21 e 22)</t>
  </si>
  <si>
    <t>Consolidação da Prestação de Serviços - Notas de Serviço de Comunicação (código 21) e de Serviço de Telecomunicação (código 22)</t>
  </si>
  <si>
    <t>D610</t>
  </si>
  <si>
    <t>Itens do Documento Consolidado (códigos 21 e 22)</t>
  </si>
  <si>
    <t>D690</t>
  </si>
  <si>
    <t>Registro Analítico dos Documentos (códigos 21 e 22)</t>
  </si>
  <si>
    <t>D695</t>
  </si>
  <si>
    <t>D696</t>
  </si>
  <si>
    <t>D697</t>
  </si>
  <si>
    <t>Registro de Informações de ICMS ST POR UF</t>
  </si>
  <si>
    <t>Bloco E</t>
  </si>
  <si>
    <t>E001</t>
  </si>
  <si>
    <t>Abertura do Bloco E</t>
  </si>
  <si>
    <t>E100</t>
  </si>
  <si>
    <t>Período de Apuração do ICMS</t>
  </si>
  <si>
    <t>E661RES</t>
  </si>
  <si>
    <t>E110</t>
  </si>
  <si>
    <t>Apuração do ICMS - Operações Próprias</t>
  </si>
  <si>
    <t>E111</t>
  </si>
  <si>
    <t>Ajuste/Benefício/Incentivo da Apuração do ICMS</t>
  </si>
  <si>
    <t>E112</t>
  </si>
  <si>
    <t>Informações Adicionais dos Ajustes da Apuração do ICMS</t>
  </si>
  <si>
    <t>E113</t>
  </si>
  <si>
    <t>Informações Adicionais dos Ajustes da Apuração do ICMS - Identificação dos documentos fiscais</t>
  </si>
  <si>
    <t>E115</t>
  </si>
  <si>
    <t>Informações Adicionais da Apuração do ICMS - Valores Declaratórios</t>
  </si>
  <si>
    <t>E661DEC</t>
  </si>
  <si>
    <t>E116</t>
  </si>
  <si>
    <t>Obrigações do ICMS a Recolher - Obrigações Próprias</t>
  </si>
  <si>
    <t>E661CCI e E660INV</t>
  </si>
  <si>
    <t>E200</t>
  </si>
  <si>
    <t>Período de Apuração do ICMS - Substituição Tributária</t>
  </si>
  <si>
    <t>E661RUF</t>
  </si>
  <si>
    <t>E210</t>
  </si>
  <si>
    <t>Apuração do ICMS - Substituição Tributária</t>
  </si>
  <si>
    <t>E661OUF</t>
  </si>
  <si>
    <t>E220</t>
  </si>
  <si>
    <t>Ajuste/Benefício/Incentivo Da Apuração Do Icms Substituição Tributária</t>
  </si>
  <si>
    <t>E230</t>
  </si>
  <si>
    <t>Informações Adicionais Dos Ajustes Da Apuração Do Icms Substituição Tributária</t>
  </si>
  <si>
    <t>E240</t>
  </si>
  <si>
    <t>Informações Adicionais Dos Ajustes Da Apuração Do Icms Substituição Tributária – Identificação Dos Documentos Fiscais</t>
  </si>
  <si>
    <t>E250</t>
  </si>
  <si>
    <t>Obrigações Do Icms A Recolher – Substituição Tributária</t>
  </si>
  <si>
    <t>E661CUF e E661GRI</t>
  </si>
  <si>
    <t>E300</t>
  </si>
  <si>
    <t>Período de apuração do ICMS diferencial de alíquota - UF origem/destino EC 87/15</t>
  </si>
  <si>
    <t>E310</t>
  </si>
  <si>
    <t>Apuração do ICMS diferencial de alíquota - UF origem/destino EC 87/15</t>
  </si>
  <si>
    <t>E311</t>
  </si>
  <si>
    <t>Ajustes/benefícios e incentivos da apuração do ICMS diferencial de alíquota das unidades federadas de origem/destino EC87/15</t>
  </si>
  <si>
    <t>E312</t>
  </si>
  <si>
    <t>Informações adicionais dos ajustes da apuração do ICMS diferencial de alíquota UF origem/destino EC 87/15</t>
  </si>
  <si>
    <t>E313</t>
  </si>
  <si>
    <t>Informações adicionais dos ajustes da apuração do ICMS diferencial de alíquota UF origem/destino EC 87/15 - Identificação dos documentos fiscais</t>
  </si>
  <si>
    <t>E660NFC ou E660NFV</t>
  </si>
  <si>
    <t>E316</t>
  </si>
  <si>
    <t>Obrigações do ICMS recolhido ou a recolher - diferencial de alíquota UF origem/destino EC 87/15.</t>
  </si>
  <si>
    <t>E661CUF</t>
  </si>
  <si>
    <t>E500</t>
  </si>
  <si>
    <t>Período de Apuração do IPI</t>
  </si>
  <si>
    <t>E510</t>
  </si>
  <si>
    <t>Consolidação dos Valores de IPI</t>
  </si>
  <si>
    <t>E660REZ, E660NFC, E660INC, E660NFV e E660INC</t>
  </si>
  <si>
    <t>E520</t>
  </si>
  <si>
    <t>Apuração do IPI</t>
  </si>
  <si>
    <t>E530</t>
  </si>
  <si>
    <t>Ajustes da Apuração do IPI</t>
  </si>
  <si>
    <t>E990</t>
  </si>
  <si>
    <t>Encerramento do Bloco E</t>
  </si>
  <si>
    <t>Bloco G</t>
  </si>
  <si>
    <t>G001</t>
  </si>
  <si>
    <t>Abertura do Bloco G</t>
  </si>
  <si>
    <t>G110</t>
  </si>
  <si>
    <t>Ativo Permanente - CIAP</t>
  </si>
  <si>
    <t>E660CIP, E670BEM e E660INC</t>
  </si>
  <si>
    <t>G125</t>
  </si>
  <si>
    <t>Movimentação de BEM ou Componente do Ativo Imobilizado</t>
  </si>
  <si>
    <t>G126</t>
  </si>
  <si>
    <t>Outros Créditos do CIAP</t>
  </si>
  <si>
    <t>G130</t>
  </si>
  <si>
    <t>Identificação do Documentação Fiscal</t>
  </si>
  <si>
    <t>E660CIP, E660NFC, E660NFV</t>
  </si>
  <si>
    <t>G140</t>
  </si>
  <si>
    <t>Identificação do Item do Documento Fiscal</t>
  </si>
  <si>
    <t>G990</t>
  </si>
  <si>
    <t>Encerramento do Bloco G</t>
  </si>
  <si>
    <t>Bloco H</t>
  </si>
  <si>
    <t>H001</t>
  </si>
  <si>
    <t>Abertura do Bloco H</t>
  </si>
  <si>
    <t>H005</t>
  </si>
  <si>
    <t>Totais do Inventário</t>
  </si>
  <si>
    <t>E210SFE</t>
  </si>
  <si>
    <t>H010</t>
  </si>
  <si>
    <t>Inventário</t>
  </si>
  <si>
    <t>S210SFE e E210SCM</t>
  </si>
  <si>
    <t>H020</t>
  </si>
  <si>
    <t>Informação Complementar do Inventário</t>
  </si>
  <si>
    <t>E661OES</t>
  </si>
  <si>
    <t>H990</t>
  </si>
  <si>
    <t>Encerramento do Bloco H</t>
  </si>
  <si>
    <t>Bloco K</t>
  </si>
  <si>
    <t>K001</t>
  </si>
  <si>
    <t>Abertura do Bloco K</t>
  </si>
  <si>
    <t>K100</t>
  </si>
  <si>
    <t>Período de Apuração do ICMS/IPI</t>
  </si>
  <si>
    <t>E660PAE</t>
  </si>
  <si>
    <t>K200</t>
  </si>
  <si>
    <t>Estoque Escriturado</t>
  </si>
  <si>
    <t>E660ESP, E660EPT e E660ETE</t>
  </si>
  <si>
    <t>K210</t>
  </si>
  <si>
    <t>Desmontagem de mercadorias - origem</t>
  </si>
  <si>
    <t>E660DIO</t>
  </si>
  <si>
    <t>K215</t>
  </si>
  <si>
    <t>Desmontagem de mercadorias - destino</t>
  </si>
  <si>
    <t>E660DID</t>
  </si>
  <si>
    <t>K220</t>
  </si>
  <si>
    <t>Outras Movimentações Internas entre Mercadorias</t>
  </si>
  <si>
    <t>E660TEP</t>
  </si>
  <si>
    <t>K230</t>
  </si>
  <si>
    <t>Itens Produzidos</t>
  </si>
  <si>
    <t>F660ORP</t>
  </si>
  <si>
    <t>K235</t>
  </si>
  <si>
    <t>Insumos Consumidos</t>
  </si>
  <si>
    <t>E660ACP</t>
  </si>
  <si>
    <t>K250</t>
  </si>
  <si>
    <t>Industrialização Efetuada por Terceiros - Itens Produzidos</t>
  </si>
  <si>
    <t>E660ACT, E660ORP e E660APT</t>
  </si>
  <si>
    <t>K255</t>
  </si>
  <si>
    <t>Industrialização em Terceiros - insumos Consumidos</t>
  </si>
  <si>
    <t>E660ACT</t>
  </si>
  <si>
    <t>K260</t>
  </si>
  <si>
    <t>Reprocessamento/reparo de produto/insumo</t>
  </si>
  <si>
    <t>E660REP</t>
  </si>
  <si>
    <t>K265</t>
  </si>
  <si>
    <t>Reprocessamento/reparo de mercadorias</t>
  </si>
  <si>
    <t>E660REC</t>
  </si>
  <si>
    <t>K270</t>
  </si>
  <si>
    <t>Correção de apontamentos</t>
  </si>
  <si>
    <t>E660COR</t>
  </si>
  <si>
    <t>K275</t>
  </si>
  <si>
    <t>Correção de apontamento e retorno de insumos</t>
  </si>
  <si>
    <t>E660COI</t>
  </si>
  <si>
    <t>K280</t>
  </si>
  <si>
    <t>Correção de apontamento do estoque escriturado</t>
  </si>
  <si>
    <t>E660COE</t>
  </si>
  <si>
    <t>K290</t>
  </si>
  <si>
    <t>Produção Conjunta - Ordem de Produção</t>
  </si>
  <si>
    <t>K291</t>
  </si>
  <si>
    <t>Produção Conjunta - Itens Produzidos</t>
  </si>
  <si>
    <t>K292</t>
  </si>
  <si>
    <t>Produção Conjunta - Insumos Consumidos</t>
  </si>
  <si>
    <t>K300</t>
  </si>
  <si>
    <t>Produção Conjunta - Industrialização Efetuada por Terceiros</t>
  </si>
  <si>
    <t>K301</t>
  </si>
  <si>
    <t>Produção Conjunta - Industrialização Efetuada por Terceiros - Itens Produzidos</t>
  </si>
  <si>
    <t>K302</t>
  </si>
  <si>
    <t>Produção Conjunta - Industrialização Efetuada por Terceiros - Insumos Consumidos</t>
  </si>
  <si>
    <t>K990</t>
  </si>
  <si>
    <t>Encerramento do Bloco K</t>
  </si>
  <si>
    <t>Bloco 1</t>
  </si>
  <si>
    <t>Obrigatoriedade de Registros do Bloco 1</t>
  </si>
  <si>
    <t>Tela de Entrada</t>
  </si>
  <si>
    <t>Registro de Informações sobre Exportação</t>
  </si>
  <si>
    <t>E660EXP</t>
  </si>
  <si>
    <t>Documentos Fiscais de Exportação</t>
  </si>
  <si>
    <t>E660NFX</t>
  </si>
  <si>
    <t>Operações de Exportação Indireta - Produtos não Industrializados pelo Estabelecimento Emitente</t>
  </si>
  <si>
    <t>E660NFX, E660NFV, E660DLV, E660DLC, E660NFC</t>
  </si>
  <si>
    <t>Controle de Créditos Fiscais – ICMS</t>
  </si>
  <si>
    <t>E661RES e E661CCI</t>
  </si>
  <si>
    <t>Utilização de Créditos Fiscais – ICMS</t>
  </si>
  <si>
    <t>Movimentação de Combustíveis</t>
  </si>
  <si>
    <t>Volume das Vendas</t>
  </si>
  <si>
    <t>Conciliação de Estoques</t>
  </si>
  <si>
    <t>Bombas</t>
  </si>
  <si>
    <t>Lacres da Bombas</t>
  </si>
  <si>
    <t>Bicos da Bombas</t>
  </si>
  <si>
    <t>Controle de produção de usina</t>
  </si>
  <si>
    <t>Produção diária da usina</t>
  </si>
  <si>
    <t>Informação sobre Valor Agregado</t>
  </si>
  <si>
    <t>Nota fiscal/Conta de energia elétrica (código 06) - Operações Interestaduais</t>
  </si>
  <si>
    <t>Itens do documento Nota fiscal/Conta de energia elétrica (código 06)</t>
  </si>
  <si>
    <t>Total das Operações com Cartão e/ou Débito</t>
  </si>
  <si>
    <t>E660PAV, E660PAR e E066FPG</t>
  </si>
  <si>
    <t>Documentos Fiscais Utilizados</t>
  </si>
  <si>
    <t>E660NFV e E020AID</t>
  </si>
  <si>
    <t>Documentos Fiscais Cancelados/Inutilizados</t>
  </si>
  <si>
    <t>DCTA Demonstrativo de Crédito do ICMS sobre Transporte Aéreo</t>
  </si>
  <si>
    <t>Indicador de Sub-Apuração do ICMS</t>
  </si>
  <si>
    <t>Período da Sub-Apuração do ICMS</t>
  </si>
  <si>
    <t>Sub-Apuração do ICMS</t>
  </si>
  <si>
    <t>Ajuste/Benefício/Incentivo da Sub-Apuração do ICMS</t>
  </si>
  <si>
    <t>Informações Adicionais dos Ajustes da Sub-Apuração do ICMS</t>
  </si>
  <si>
    <t>Informações Adicionais dos Ajustes da Sub-Apuração do ICMS - Identificação dos Documentos Fiscais</t>
  </si>
  <si>
    <t>E660INC e E660NFV</t>
  </si>
  <si>
    <t>Informações Adicionais dos Ajustes da Sub-Apuração do ICMS - Valores Declaratórios</t>
  </si>
  <si>
    <t>Obrigações do ICMS a recolher - Operações à Sub-Apuração</t>
  </si>
  <si>
    <t>E661CCI e E661RES</t>
  </si>
  <si>
    <t>GIAF 1 - Guia de informação e apuração de incentivos fiscais e financeiros: indústria (crédito presumido)</t>
  </si>
  <si>
    <t>Os campos desse registro não são gerados nativamente pelo ERP, cabe ao usuário customizar a sua geração.</t>
  </si>
  <si>
    <t>GIAF 3 - Guia de informação e apuração de incentivos fiscais e financeiros: importação (diferimento na entrada e crédito presumido na saída subsequente)</t>
  </si>
  <si>
    <t>GIAF 3 - Guia de informação e apuração de incentivos fiscais e financeiros: importação (saídas internas por faixa de alíquota)</t>
  </si>
  <si>
    <t>GIAF 4 - Guia de informação e apuração de incentivos fiscais e financeiros: central de distribuição (entradas/saídas)</t>
  </si>
  <si>
    <t>Bloco 9</t>
  </si>
  <si>
    <t>Registo</t>
  </si>
  <si>
    <t>Registros do Arquivo</t>
  </si>
  <si>
    <t>0150</t>
  </si>
  <si>
    <t>0200</t>
  </si>
  <si>
    <t>0500</t>
  </si>
  <si>
    <t>ENTRADA</t>
  </si>
  <si>
    <t>SAÍDA</t>
  </si>
  <si>
    <t>Nº</t>
  </si>
  <si>
    <t>Campo</t>
  </si>
  <si>
    <t>Tipo</t>
  </si>
  <si>
    <t>Tam.</t>
  </si>
  <si>
    <t>Dec.</t>
  </si>
  <si>
    <t>Obrig.</t>
  </si>
  <si>
    <t>REG</t>
  </si>
  <si>
    <t>Texto fixo contendo "F100"</t>
  </si>
  <si>
    <t>C</t>
  </si>
  <si>
    <t>004*</t>
  </si>
  <si>
    <t>S</t>
  </si>
  <si>
    <t>IND_OPER</t>
  </si>
  <si>
    <t>Indicador do Tipo da Operação:</t>
  </si>
  <si>
    <t>0 – Operação Representativa de Aquisição, Custos, Despesa ou Encargos, ou Receitas, Sujeita à Incidência de Crédito de PIS/Pasep ou Cofins (CST 50 a 66).</t>
  </si>
  <si>
    <t>1 – Operação Representativa de Receita Auferida Sujeita ao Pagamento da Contribuição para o PIS/Pasep e da Cofins (CST 01, 02, 03 ou 05).</t>
  </si>
  <si>
    <t>2 - Operação Representativa de Receita Auferida Não Sujeita ao Pagamento da Contribuição para o PIS/Pasep e da Cofins (CST 04, 06, 07, 08, 09, 49 ou 99).</t>
  </si>
  <si>
    <t>001*</t>
  </si>
  <si>
    <t>COD_PART</t>
  </si>
  <si>
    <t>Código do participante (Campo 02 do Registro 0150)</t>
  </si>
  <si>
    <t>N</t>
  </si>
  <si>
    <t>COD_ITEM</t>
  </si>
  <si>
    <t>Código do item (campo 02 do Registro 0200)</t>
  </si>
  <si>
    <t>DT_OPER</t>
  </si>
  <si>
    <t>Data da Operação (ddmmaaaa)</t>
  </si>
  <si>
    <t>008*</t>
  </si>
  <si>
    <t>VL_OPER</t>
  </si>
  <si>
    <t>Valor da Operação/Item</t>
  </si>
  <si>
    <t>CST_PIS</t>
  </si>
  <si>
    <t>Código da Situação Tributária referente ao PIS/PASEP, conforme a Tabela indicada no item 4.3.3.</t>
  </si>
  <si>
    <t>002*</t>
  </si>
  <si>
    <t>VL_BC_PIS</t>
  </si>
  <si>
    <t>Base de cálculo do PIS/PASEP</t>
  </si>
  <si>
    <t>ALIQ_PIS</t>
  </si>
  <si>
    <t>Alíquota do PIS/PASEP</t>
  </si>
  <si>
    <t>VL_PIS</t>
  </si>
  <si>
    <t>Valor do PIS/PASEP</t>
  </si>
  <si>
    <t>CST_COFINS</t>
  </si>
  <si>
    <t>Código da Situação Tributária referente a COFINS, conforme a Tabela indicada no item 4.3.4.</t>
  </si>
  <si>
    <t>VL_BC_COFINS</t>
  </si>
  <si>
    <t>Base de cálculo da COFINS</t>
  </si>
  <si>
    <t>ALIQ_COFINS</t>
  </si>
  <si>
    <t>Alíquota da COFINS</t>
  </si>
  <si>
    <t>VL_COFINS</t>
  </si>
  <si>
    <t>Valor da COFINS</t>
  </si>
  <si>
    <t>NAT_BC_CRED</t>
  </si>
  <si>
    <t>Código da Base de Cálculo dos Créditos, conforme a tabela indicada no item 4.3.7, caso seja informado código representativo de crédito nos Campos 07 (CST_PIS) e 11 (CST_COFINS).</t>
  </si>
  <si>
    <t>IND_ORIG_CRED</t>
  </si>
  <si>
    <t>Indicador da origem do crédito:</t>
  </si>
  <si>
    <t>0 – Operação no Mercado Interno</t>
  </si>
  <si>
    <t>1 – Operação de Importação</t>
  </si>
  <si>
    <t>COD_CTA</t>
  </si>
  <si>
    <t>Código da conta analítica contábil debitada/creditada</t>
  </si>
  <si>
    <t>COD_CCUS</t>
  </si>
  <si>
    <t>Código do Centro de Custos</t>
  </si>
  <si>
    <t>DESC_DOC_OPER</t>
  </si>
  <si>
    <t>Descrição do Documento/Operação</t>
  </si>
  <si>
    <t>Texto fixo contendo "A100"</t>
  </si>
  <si>
    <t>Indicador do tipo de operação:</t>
  </si>
  <si>
    <t>0 - Serviço Contratado pelo Estabelecimento;</t>
  </si>
  <si>
    <t>1 - Serviço Prestado pelo Estabelecimento.</t>
  </si>
  <si>
    <t>IND_EMIT</t>
  </si>
  <si>
    <t>Indicador do emitente do documento fiscal:</t>
  </si>
  <si>
    <t>0 - Emissão Própria;</t>
  </si>
  <si>
    <t>1 - Emissão de Terceiros</t>
  </si>
  <si>
    <t>Código do participante (campo 02 do Registro 0150):</t>
  </si>
  <si>
    <t>- do emitente do documento, no caso de emissão de terceiros;</t>
  </si>
  <si>
    <t>- do adquirente, no caso de serviços prestados.</t>
  </si>
  <si>
    <t>COD_SIT</t>
  </si>
  <si>
    <t>Código da situação do documento fiscal:</t>
  </si>
  <si>
    <t>00 – Documento regular</t>
  </si>
  <si>
    <t>02 – Documento cancelado</t>
  </si>
  <si>
    <t>SER</t>
  </si>
  <si>
    <t>Série do documento fiscal</t>
  </si>
  <si>
    <t>SUB</t>
  </si>
  <si>
    <t>Subsérie do documento fiscal</t>
  </si>
  <si>
    <t>NUM_DOC</t>
  </si>
  <si>
    <t>Número do documento fiscal ou documento internacional equivalente</t>
  </si>
  <si>
    <t>CHV_NFSE</t>
  </si>
  <si>
    <t>Chave/Código de Verificação da nota fiscal de serviço eletrônica</t>
  </si>
  <si>
    <t>DT_DOC</t>
  </si>
  <si>
    <t>Data da emissão do documento fiscal</t>
  </si>
  <si>
    <t>DT_EXE_SERV</t>
  </si>
  <si>
    <t>Data de Execução / Conclusão do Serviço</t>
  </si>
  <si>
    <t>VL_DOC</t>
  </si>
  <si>
    <t>Valor total do documento</t>
  </si>
  <si>
    <t>IND_PGTO</t>
  </si>
  <si>
    <t>Indicador do tipo de pagamento:</t>
  </si>
  <si>
    <t>0- À vista;</t>
  </si>
  <si>
    <t>1- A prazo;</t>
  </si>
  <si>
    <t>9- Sem pagamento.</t>
  </si>
  <si>
    <t>VL_DESC</t>
  </si>
  <si>
    <t>Valor total do desconto</t>
  </si>
  <si>
    <t>Valor da base de cálculo do PIS/PASEP</t>
  </si>
  <si>
    <t>Valor total do PIS</t>
  </si>
  <si>
    <t>Valor da base de cálculo da COFINS</t>
  </si>
  <si>
    <t>Valor total da COFINS</t>
  </si>
  <si>
    <t>VL_PIS_RET</t>
  </si>
  <si>
    <t>Valor total do PIS retido na fonte</t>
  </si>
  <si>
    <t>VL_COFINS_RET</t>
  </si>
  <si>
    <t>Valor total da COFINS retido na fonte.</t>
  </si>
  <si>
    <t>VL_ISS</t>
  </si>
  <si>
    <t>Valor do ISS</t>
  </si>
  <si>
    <t>Texto fixo contendo "C170"</t>
  </si>
  <si>
    <t>NUM_ITEM</t>
  </si>
  <si>
    <t>Número seqüencial do item no documento fiscal</t>
  </si>
  <si>
    <t>DESCR_COMPL</t>
  </si>
  <si>
    <t>Descrição complementar do item como adotado no documento fiscal</t>
  </si>
  <si>
    <t>QTD</t>
  </si>
  <si>
    <t>Quantidade do item</t>
  </si>
  <si>
    <t>UNID</t>
  </si>
  <si>
    <t>Unidade do item (Campo 02 do registro 0190)</t>
  </si>
  <si>
    <t>VL_ITEM</t>
  </si>
  <si>
    <t>Valor total do item (mercadorias ou serviços)</t>
  </si>
  <si>
    <t>Valor do desconto comercial / exclusão da base de cálculo do PIS/PASEP e da COFINS</t>
  </si>
  <si>
    <t>IND_MOV</t>
  </si>
  <si>
    <t>Movimentação física do ITEM/PRODUTO:</t>
  </si>
  <si>
    <t>0. SIM</t>
  </si>
  <si>
    <t>1. NÃO</t>
  </si>
  <si>
    <t>CST_ICMS</t>
  </si>
  <si>
    <t>Código da Situação Tributária referente ao ICMS, conforme a Tabela indicada no item 4.3.1</t>
  </si>
  <si>
    <t>003*</t>
  </si>
  <si>
    <t>CFOP</t>
  </si>
  <si>
    <t>Código Fiscal de Operação e Prestação</t>
  </si>
  <si>
    <t>COD_NAT</t>
  </si>
  <si>
    <t>Código da natureza da operação (campo 02 do Registro 0400)</t>
  </si>
  <si>
    <t>VL_BC_ICMS</t>
  </si>
  <si>
    <t>Valor da base de cálculo do ICMS</t>
  </si>
  <si>
    <t>ALIQ_ICMS</t>
  </si>
  <si>
    <t>Alíquota do ICMS</t>
  </si>
  <si>
    <t>VL_ICMS</t>
  </si>
  <si>
    <t>Valor do ICMS creditado/debitado</t>
  </si>
  <si>
    <t>VL_BC_ICMS_ST</t>
  </si>
  <si>
    <t>Valor da base de cálculo referente à substituição tributária</t>
  </si>
  <si>
    <t>ALIQ_ST</t>
  </si>
  <si>
    <t>Alíquota do ICMS da substituição tributária na unidade da federação de destino</t>
  </si>
  <si>
    <t>VL_ICMS_ST</t>
  </si>
  <si>
    <t>Valor do ICMS referente à substituição tributária</t>
  </si>
  <si>
    <t>IND_APUR</t>
  </si>
  <si>
    <t>Indicador de período de apuração do IPI:</t>
  </si>
  <si>
    <t>0 - Mensal;</t>
  </si>
  <si>
    <t>1 Decendial</t>
  </si>
  <si>
    <t>CST_IPI</t>
  </si>
  <si>
    <t>Código da Situação Tributária referente ao IPI, conforme a Tabela indicada no item 4.3.2.</t>
  </si>
  <si>
    <t>COD_ENQ</t>
  </si>
  <si>
    <t>Código de enquadramento legal do IPI, conforme tabela indicada no item 4.5.3.</t>
  </si>
  <si>
    <t>VL_BC_IPI</t>
  </si>
  <si>
    <t>Valor da base de cálculo do IPI</t>
  </si>
  <si>
    <t>ALIQ_IPI</t>
  </si>
  <si>
    <t>Alíquota do IPI</t>
  </si>
  <si>
    <t>VL_IPI</t>
  </si>
  <si>
    <t>Valor do IPI creditado/debitado</t>
  </si>
  <si>
    <t>Código da Situação Tributária referente ao PIS.</t>
  </si>
  <si>
    <t>Alíquota do PIS (em percentual)</t>
  </si>
  <si>
    <t>QUANT_BC_PIS</t>
  </si>
  <si>
    <t>Quantidade – Base de cálculo PIS/PASEP</t>
  </si>
  <si>
    <t>ALIQ_PIS_QUANT</t>
  </si>
  <si>
    <t>Alíquota do PIS/PASEP (em reais)</t>
  </si>
  <si>
    <t>Código da Situação Tributária referente ao COFINS.</t>
  </si>
  <si>
    <t>Alíquota do COFINS (em percentual)</t>
  </si>
  <si>
    <t>QUANT_BC_COFINS</t>
  </si>
  <si>
    <t>Quantidade – Base de cálculo COFINS</t>
  </si>
  <si>
    <t>ALIQ_COFINS_QUANT</t>
  </si>
  <si>
    <t>Alíquota da COFINS (em reais)</t>
  </si>
  <si>
    <t>c170</t>
  </si>
  <si>
    <t>d600</t>
  </si>
  <si>
    <t>0- Receita própria - serviços prestados;</t>
  </si>
  <si>
    <t>1- Receita própria - cobrança de débitos;</t>
  </si>
  <si>
    <t>2- Receita própria - venda de serviço pré-pago – faturamento de períodos anteriores;</t>
  </si>
  <si>
    <t>3- Receita própria - venda de serviço pré-pago – faturamento no período;</t>
  </si>
  <si>
    <t>4- Outras receitas próprias de serviços de comunicação e telecomunicação;</t>
  </si>
  <si>
    <t>5- Receita própria - co-faturamento;</t>
  </si>
  <si>
    <t>6- Receita própria – serviços a faturar em período futuro;</t>
  </si>
  <si>
    <t>7– Outras receitas próprias de natureza não-cumulativa;</t>
  </si>
  <si>
    <t>8 - Outras receitas de terceiros</t>
  </si>
  <si>
    <t>Texto fixo contendo "D600"</t>
  </si>
  <si>
    <t>COD_MOD</t>
  </si>
  <si>
    <t>Código do modelo do documento fiscal, conforme a Tabela 4.1.1.</t>
  </si>
  <si>
    <t>COD_MUN</t>
  </si>
  <si>
    <t>Código do município dos terminais faturados, conforme a tabela IBGE</t>
  </si>
  <si>
    <t>007*</t>
  </si>
  <si>
    <t>IND_REC</t>
  </si>
  <si>
    <t>Indicador do tipo de receita:</t>
  </si>
  <si>
    <t>9 – Outras receitas.</t>
  </si>
  <si>
    <t>QTD_CONS</t>
  </si>
  <si>
    <t>Quantidade de documentos consolidados neste registro</t>
  </si>
  <si>
    <t>DT_DOC_INI</t>
  </si>
  <si>
    <t>Data Inicial dos documentos consolidados no período</t>
  </si>
  <si>
    <t>DT_DOC_FIN</t>
  </si>
  <si>
    <t>Data Final dos documentos consolidados no período</t>
  </si>
  <si>
    <t>Valor total acumulado dos documentos fiscais</t>
  </si>
  <si>
    <t>Valor acumulado dos descontos</t>
  </si>
  <si>
    <t>VL_SERV</t>
  </si>
  <si>
    <t>Valor acumulado das prestações de serviços tributados pelo ICMS</t>
  </si>
  <si>
    <t>VL_SERV_NT</t>
  </si>
  <si>
    <t>Valor acumulado dos serviços não-tributados pelo ICMS</t>
  </si>
  <si>
    <t>VL_TERC</t>
  </si>
  <si>
    <t>Valores cobrados em nome de terceiros</t>
  </si>
  <si>
    <t>VL_DA</t>
  </si>
  <si>
    <t>Valor acumulado das despesas acessórias</t>
  </si>
  <si>
    <t>Valor acumulado da base de cálculo do ICMS</t>
  </si>
  <si>
    <t>Valor acumulado do ICMS</t>
  </si>
  <si>
    <t>Texto fixo contendo "C500"</t>
  </si>
  <si>
    <t>Código do participante do fornecedor (campo 02 do Registro 0150).</t>
  </si>
  <si>
    <t>Código do modelo do documento fiscal, conforme a Tabela 4.1.1</t>
  </si>
  <si>
    <t>Código da situação do documento fiscal, conforme a Tabela 4.1.2</t>
  </si>
  <si>
    <t>Número do documento fiscal</t>
  </si>
  <si>
    <t>DT_ENT</t>
  </si>
  <si>
    <t>Data da entrada</t>
  </si>
  <si>
    <t>Valor total do documento fiscal</t>
  </si>
  <si>
    <t>COD_INF</t>
  </si>
  <si>
    <t>Código da informação complementar do documento fiscal (campo 02 do Registro 0450)</t>
  </si>
  <si>
    <t>CHV_DOCe</t>
  </si>
  <si>
    <t>Chave do Documento Fiscal Eletrônico</t>
  </si>
  <si>
    <t>044*</t>
  </si>
  <si>
    <t>Texto fixo contendo "D500"</t>
  </si>
  <si>
    <t>0- Aquisição</t>
  </si>
  <si>
    <t>0- Emissão própria;</t>
  </si>
  <si>
    <t>1- Terceiros</t>
  </si>
  <si>
    <t>Código do participante prestador do serviço (campo 02 do Registro 0150).</t>
  </si>
  <si>
    <t>Çódigo da situação do documento fiscal, conforme a Tabela 4.1.2.</t>
  </si>
  <si>
    <t>DT_A_P</t>
  </si>
  <si>
    <t>Data da entrada (aquisição)</t>
  </si>
  <si>
    <t>Valor da prestação de serviços</t>
  </si>
  <si>
    <t>Valor total dos serviços não-tributados pelo ICMS</t>
  </si>
  <si>
    <t>Valor de outras despesas indicadas no documento fiscal</t>
  </si>
  <si>
    <t>Valor do ICMS</t>
  </si>
  <si>
    <t>Código da informação complementar (campo 02 do Registro 0450)</t>
  </si>
  <si>
    <t>Texto fixo contendo "A170"</t>
  </si>
  <si>
    <t>Código da base de cálculo do crédito, conforme a Tabela indicada no item 4.3.7, caso seja informado código representativo de crédito no Campo 09 (CST_PIS) ou no Campo 13 (CST_COFINS).</t>
  </si>
  <si>
    <t>Código da Situação Tributária referente ao PIS/PASEP – Tabela 4.3.3.</t>
  </si>
  <si>
    <t>Valor da base de cálculo do PIS/PASEP.</t>
  </si>
  <si>
    <t>Alíquota do PIS/PASEP (em percentual)</t>
  </si>
  <si>
    <t>Código da Situação Tributária referente ao COFINS – Tabela 4.3.4.</t>
  </si>
  <si>
    <t>Código do centro de custos</t>
  </si>
  <si>
    <t>Texto fixo contendo "D501”</t>
  </si>
  <si>
    <t>Código da Situação Tributária referente ao PIS/PASEP</t>
  </si>
  <si>
    <t>Valor Total dos Itens (Serviços)</t>
  </si>
  <si>
    <t>Código da Base de Cálculo do Crédito, conforme a Tabela indicada no item 4.3.7.</t>
  </si>
  <si>
    <t>Texto fixo contendo "D505"</t>
  </si>
  <si>
    <t>Código da Situação Tributária referente a COFINS</t>
  </si>
  <si>
    <t>Alíquota da COFINS (em percentual)</t>
  </si>
  <si>
    <t>Texto fixo contendo "C501”</t>
  </si>
  <si>
    <t>Valor total dos itens</t>
  </si>
  <si>
    <t>Texto fixo contendo "C505”</t>
  </si>
  <si>
    <t>Texto fixo contendo "C100"</t>
  </si>
  <si>
    <t>0- Entrada;</t>
  </si>
  <si>
    <t>1- Saída</t>
  </si>
  <si>
    <t>- do emitente do documento ou do remetente das mercadorias, no caso de entradas;</t>
  </si>
  <si>
    <t>- do adquirente, no caso de saídas</t>
  </si>
  <si>
    <t>CHV_NFE</t>
  </si>
  <si>
    <t>Chave da Nota Fiscal Eletrônica ou da NFC-e</t>
  </si>
  <si>
    <t>DT_E_S</t>
  </si>
  <si>
    <t>Data da entrada ou da saída</t>
  </si>
  <si>
    <t>Obs.: A partir de 01/07/2012 passará a ser:</t>
  </si>
  <si>
    <t>2 - Outros</t>
  </si>
  <si>
    <t>VL_ABAT_NT</t>
  </si>
  <si>
    <t>Abatimento não tributado e não comercial Ex. desconto ICMS nas remessas para ZFM.</t>
  </si>
  <si>
    <t>VL_MERC</t>
  </si>
  <si>
    <t>Valor total das mercadorias e serviços</t>
  </si>
  <si>
    <t>IND_FRT</t>
  </si>
  <si>
    <t>Indicador do tipo do frete:</t>
  </si>
  <si>
    <t>0- Por conta de terceiros;</t>
  </si>
  <si>
    <t>1- Por conta do emitente;</t>
  </si>
  <si>
    <t>2- Por conta do destinatário;</t>
  </si>
  <si>
    <t>9- Sem cobrança de frete.</t>
  </si>
  <si>
    <t>Obs.: A partir de 01/01/2012 passará a ser:</t>
  </si>
  <si>
    <t>0- Por conta do emitente;</t>
  </si>
  <si>
    <t>1- Por conta do destinatário/remetente;</t>
  </si>
  <si>
    <t>2- Por conta de terceiros;</t>
  </si>
  <si>
    <t>Obs.: A partir de 01/10/2017 passará a ser:</t>
  </si>
  <si>
    <t>Indicador do tipo de frete/transporte:</t>
  </si>
  <si>
    <t>0 - Frete por conta do remetente (CIF);</t>
  </si>
  <si>
    <t>1 - Frete por conta do destinatário (FOB);</t>
  </si>
  <si>
    <t>2 - Frete por conta de terceiros;</t>
  </si>
  <si>
    <t>3 – Transporte próprio por conta do remetente;</t>
  </si>
  <si>
    <t>4 – Transporte próprio por conta do destinatário;</t>
  </si>
  <si>
    <t>9 - Sem ocorrência de transporte.</t>
  </si>
  <si>
    <t>VL_FRT</t>
  </si>
  <si>
    <t>Valor do frete indicado no documento fiscal</t>
  </si>
  <si>
    <t>VL_SEG</t>
  </si>
  <si>
    <t>Valor do seguro indicado no documento fiscal</t>
  </si>
  <si>
    <t>VL_OUT_DA</t>
  </si>
  <si>
    <t>Valor de outras despesas acessórias</t>
  </si>
  <si>
    <t>Valor da base de cálculo do ICMS substituição tributária</t>
  </si>
  <si>
    <t>Valor do ICMS retido por substituição tributária</t>
  </si>
  <si>
    <t>Valor total do IPI</t>
  </si>
  <si>
    <t>VL_PIS_ST</t>
  </si>
  <si>
    <t>Valor total do PIS retido por substituição tributária</t>
  </si>
  <si>
    <t>VL_COFINS_ST</t>
  </si>
  <si>
    <t>Valor total da COFINS retido por substituição tributária</t>
  </si>
  <si>
    <t>Texto fixo contendo "D601”.</t>
  </si>
  <si>
    <t>COD_CLASS</t>
  </si>
  <si>
    <t>Código de classificação do item do serviço de comunicação ou de telecomunicação, conforme a Tabela 4.4.1.</t>
  </si>
  <si>
    <t>Valor acumulado do item.</t>
  </si>
  <si>
    <t>Valor acumulado dos descontos/exclusões da base de cálculo.</t>
  </si>
  <si>
    <t>Código da Situação Tributária referente ao PIS/PASEP.</t>
  </si>
  <si>
    <t>Alíquota do PIS/PASEP (em percentual).</t>
  </si>
  <si>
    <t>Valor do PIS/PASEP.</t>
  </si>
  <si>
    <t>Código da conta contábil debitada/creditada.</t>
  </si>
  <si>
    <t>Texto fixo contendo "D605".</t>
  </si>
  <si>
    <t>Código da Situação Tributária referente a COFINS.</t>
  </si>
  <si>
    <t>Valor da base de cálculo da COFINS.</t>
  </si>
  <si>
    <t>Alíquota da COFINS (em percentual).</t>
  </si>
  <si>
    <t>Valor da COFINS.</t>
  </si>
  <si>
    <t>|A100|1|0|C00267217676|00|||17701|FRV1MY9JT|27042020|27042020|189,90|0|0,00|189,90|1,23|189,90|5,70|0,00|0,00|3,80|</t>
  </si>
  <si>
    <t>|C100|1|0|C087043396-22|55|00|001|000000790|31200410907296000182550010000007901460080401|01042020|01042020|95,00|0|0,00|0,00|95,00|9|0,00|0,00|0,00|0,00|0,00|0,00|0,00|0,00|1,57|7,22|||</t>
  </si>
  <si>
    <t>|C170|1|4629||1,000|UN|95,00|0,00|0|060|5405||0,00|0,00|0,00|0,00|0,00|0,00||||0,00|0,00|0,00|01|95,00|1,6500|||1,57|01|95,00|7,6000|||7,22|2|</t>
  </si>
  <si>
    <t>Outros</t>
  </si>
  <si>
    <t>Texto fixo contendo “0150”.</t>
  </si>
  <si>
    <t>Código de identificação do participante no arquivo.</t>
  </si>
  <si>
    <t>NOME</t>
  </si>
  <si>
    <t>Nome pessoal ou empresarial do participante.</t>
  </si>
  <si>
    <t>COD_PAIS</t>
  </si>
  <si>
    <t>Código do país do participante, conforme a tabela indicada no item 3.2.1.</t>
  </si>
  <si>
    <t>CNPJ</t>
  </si>
  <si>
    <t>CNPJ do participante.</t>
  </si>
  <si>
    <t>014*</t>
  </si>
  <si>
    <t>CPF</t>
  </si>
  <si>
    <t>CPF do participante.</t>
  </si>
  <si>
    <t>011*</t>
  </si>
  <si>
    <t>IE</t>
  </si>
  <si>
    <t>Inscrição Estadual do participante.</t>
  </si>
  <si>
    <t>Código do município, conforme a tabela IBGE.</t>
  </si>
  <si>
    <t>SUFRAMA</t>
  </si>
  <si>
    <t>Número de inscrição do participante na Suframa</t>
  </si>
  <si>
    <t>009*</t>
  </si>
  <si>
    <t>END</t>
  </si>
  <si>
    <t>Logradouro e endereço do imóvel</t>
  </si>
  <si>
    <t>NUM</t>
  </si>
  <si>
    <t>Número do imóvel</t>
  </si>
  <si>
    <t>COMPL</t>
  </si>
  <si>
    <t>Dados complementares do endereço</t>
  </si>
  <si>
    <t>BAIRRO</t>
  </si>
  <si>
    <t>Bairro em que o imóvel está situado</t>
  </si>
  <si>
    <t>Texto fixo contendo "0200"</t>
  </si>
  <si>
    <t>Código do item</t>
  </si>
  <si>
    <t>DESCR_ITEM</t>
  </si>
  <si>
    <t>Descrição do item</t>
  </si>
  <si>
    <t>COD_BARRA</t>
  </si>
  <si>
    <t>Representação alfanumérico do código de barra do produto, se houver.</t>
  </si>
  <si>
    <t>COD_ANT_ITEM</t>
  </si>
  <si>
    <t>Código anterior do item com relação à última informação apresentada.</t>
  </si>
  <si>
    <t>UNID_INV</t>
  </si>
  <si>
    <t>Unidade de medida utilizada na quantificação de estoques.</t>
  </si>
  <si>
    <t>TIPO_ITEM</t>
  </si>
  <si>
    <t>Tipo do item – Atividades Industriais, Comerciais e Serviços:</t>
  </si>
  <si>
    <t>00 – Mercadoria para Revenda;</t>
  </si>
  <si>
    <t>01 – Matéria-Prima;</t>
  </si>
  <si>
    <t>02 – Embalagem;</t>
  </si>
  <si>
    <t>03 – Produto em Processo;</t>
  </si>
  <si>
    <t>04 – Produto Acabado;</t>
  </si>
  <si>
    <t>05 – Subproduto;</t>
  </si>
  <si>
    <t>06 – Produto Intermediário;</t>
  </si>
  <si>
    <t>07 – Material de Uso e Consumo;</t>
  </si>
  <si>
    <t>08 – Ativo Imobilizado;</t>
  </si>
  <si>
    <t>09 – Serviços;</t>
  </si>
  <si>
    <t>10 – Outros insumos;</t>
  </si>
  <si>
    <t>99 – Outras.</t>
  </si>
  <si>
    <t>COD_NCM</t>
  </si>
  <si>
    <t>Código da Nomenclatura Comum do Mercosul</t>
  </si>
  <si>
    <t>EX_IPI</t>
  </si>
  <si>
    <t>Código EX, conforme a TIPI</t>
  </si>
  <si>
    <t>COD_GEN</t>
  </si>
  <si>
    <t>Código do gênero do item, conforme a Tabela 4.2.1.</t>
  </si>
  <si>
    <t>COD_LST</t>
  </si>
  <si>
    <t>Código do serviço conforme lista do Anexo I da Lei Complementar Federal nº 116/03.</t>
  </si>
  <si>
    <t>Obs: A partir do período de apuração maio de 2015 (versão 2.11 do PVA), o código a ser informado neste campo poderá ser informado 05 (cinco) caracteres, no formato “XX.XX”, conforme a codificação adotada na Lei Complementar nº 116/2003 e na EFD-ICMS/IPI.</t>
  </si>
  <si>
    <t>Alíquota de ICMS aplicável ao item nas operações internas</t>
  </si>
  <si>
    <t>|A170|1|S951180001||189,90|0,00|||01|189,90|0,65|1,23|01|189,90|3,00|5,70|2||</t>
  </si>
  <si>
    <t>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</si>
</sst>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12" x14ac:knownFonts="1">
    <font>
      <sz val="10"/>
      <color theme="1"/>
      <name val="Arial"/>
      <family val="2"/>
    </font>
    <font>
      <sz val="10"/>
      <color indexed="0"/>
      <name val="Arial"/>
      <family val="2"/>
    </font>
    <font>
      <sz val="10"/>
      <color theme="1"/>
      <name val="Arial"/>
      <family val="2"/>
    </font>
    <font>
      <b/>
      <sz val="10"/>
      <color rgb="FF000000"/>
      <name val="Arial"/>
      <family val="2"/>
    </font>
    <font>
      <sz val="10"/>
      <color rgb="FF000000"/>
      <name val="Arial"/>
      <family val="2"/>
    </font>
    <font>
      <u/>
      <sz val="10"/>
      <color theme="10"/>
      <name val="Arial"/>
      <family val="2"/>
    </font>
    <font>
      <sz val="8"/>
      <color theme="1"/>
      <name val="Arial"/>
      <family val="2"/>
    </font>
    <font>
      <b/>
      <sz val="8"/>
      <color theme="0"/>
      <name val="Arial"/>
      <family val="2"/>
    </font>
    <font>
      <b/>
      <sz val="8"/>
      <name val="Arial"/>
      <family val="2"/>
    </font>
    <font>
      <sz val="10"/>
      <color rgb="FFFF0000"/>
      <name val="Arial"/>
      <family val="2"/>
    </font>
    <font>
      <b/>
      <sz val="10"/>
      <color theme="1"/>
      <name val="Arial"/>
      <family val="2"/>
    </font>
    <font>
      <sz val="8"/>
      <color theme="7" tint="0.39997558519241921"/>
      <name val="Arial"/>
      <family val="2"/>
    </font>
  </fonts>
  <fills count="15">
    <fill>
      <patternFill patternType="none"/>
    </fill>
    <fill>
      <patternFill patternType="gray125"/>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bgColor indexed="64"/>
      </patternFill>
    </fill>
    <fill>
      <patternFill patternType="solid">
        <fgColor theme="5"/>
        <bgColor indexed="64"/>
      </patternFill>
    </fill>
    <fill>
      <patternFill patternType="solid">
        <fgColor theme="2"/>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5" tint="0.39997558519241921"/>
        <bgColor indexed="64"/>
      </patternFill>
    </fill>
    <fill>
      <patternFill patternType="solid">
        <fgColor theme="1" tint="0.249977111117893"/>
        <bgColor indexed="64"/>
      </patternFill>
    </fill>
  </fills>
  <borders count="8">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0" fontId="5" fillId="0" borderId="0" applyNumberFormat="0" applyFill="0" applyBorder="0" applyAlignment="0" applyProtection="0"/>
  </cellStyleXfs>
  <cellXfs count="62">
    <xf numFmtId="0" fontId="0" fillId="0" borderId="0" xfId="0"/>
    <xf numFmtId="0" fontId="0" fillId="0" borderId="0" xfId="0" applyAlignment="1">
      <alignment horizontal="left"/>
    </xf>
    <xf numFmtId="0" fontId="0" fillId="0" borderId="0" xfId="0" applyAlignment="1">
      <alignment vertical="center"/>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5" fillId="0" borderId="1" xfId="3" applyBorder="1" applyAlignment="1">
      <alignmen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4" fillId="0" borderId="4" xfId="0" applyFont="1" applyBorder="1" applyAlignment="1">
      <alignment vertical="center" wrapText="1"/>
    </xf>
    <xf numFmtId="0" fontId="0" fillId="0" borderId="0" xfId="0" applyAlignment="1"/>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5" fillId="0" borderId="1" xfId="3" applyBorder="1" applyAlignment="1">
      <alignment vertical="center"/>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6" fillId="0" borderId="5" xfId="0" applyFont="1" applyBorder="1" applyAlignment="1">
      <alignment horizontal="center" vertical="center"/>
    </xf>
    <xf numFmtId="0" fontId="5" fillId="0" borderId="2" xfId="3" applyBorder="1" applyAlignment="1">
      <alignment vertical="center" wrapText="1"/>
    </xf>
    <xf numFmtId="0" fontId="5" fillId="0" borderId="2" xfId="3" applyBorder="1" applyAlignment="1">
      <alignment vertical="center"/>
    </xf>
    <xf numFmtId="0" fontId="6" fillId="0" borderId="0" xfId="0" applyFont="1" applyAlignment="1">
      <alignment horizontal="center" vertical="center"/>
    </xf>
    <xf numFmtId="0" fontId="6" fillId="0" borderId="0" xfId="0" applyFont="1" applyBorder="1" applyAlignment="1">
      <alignment horizontal="center" vertical="center"/>
    </xf>
    <xf numFmtId="0" fontId="6" fillId="6" borderId="5" xfId="0" applyFont="1" applyFill="1" applyBorder="1" applyAlignment="1">
      <alignment horizontal="center" vertical="center"/>
    </xf>
    <xf numFmtId="0" fontId="6" fillId="4" borderId="5" xfId="0" applyFont="1" applyFill="1" applyBorder="1" applyAlignment="1">
      <alignment horizontal="center" vertical="center"/>
    </xf>
    <xf numFmtId="0" fontId="6" fillId="2" borderId="5" xfId="0" applyFont="1" applyFill="1" applyBorder="1" applyAlignment="1">
      <alignment horizontal="center" vertical="center"/>
    </xf>
    <xf numFmtId="0" fontId="6" fillId="8" borderId="5" xfId="0" applyFont="1" applyFill="1" applyBorder="1" applyAlignment="1">
      <alignment horizontal="center" vertical="center"/>
    </xf>
    <xf numFmtId="0" fontId="0" fillId="0" borderId="0" xfId="0" quotePrefix="1" applyAlignment="1"/>
    <xf numFmtId="0" fontId="4" fillId="0" borderId="0" xfId="0" quotePrefix="1" applyFont="1" applyFill="1" applyBorder="1" applyAlignment="1">
      <alignment horizontal="center" vertical="center"/>
    </xf>
    <xf numFmtId="0" fontId="9" fillId="0" borderId="0" xfId="0" applyFont="1"/>
    <xf numFmtId="0" fontId="6" fillId="13" borderId="5" xfId="0" applyFont="1" applyFill="1" applyBorder="1" applyAlignment="1">
      <alignment horizontal="center" vertical="center"/>
    </xf>
    <xf numFmtId="0" fontId="0" fillId="0" borderId="5" xfId="0" applyBorder="1"/>
    <xf numFmtId="0" fontId="11" fillId="14" borderId="5" xfId="0" applyFont="1" applyFill="1" applyBorder="1" applyAlignment="1">
      <alignment horizontal="center" vertical="center"/>
    </xf>
    <xf numFmtId="0" fontId="7" fillId="10" borderId="5" xfId="0" applyFont="1" applyFill="1" applyBorder="1" applyAlignment="1">
      <alignment horizontal="center" vertical="center"/>
    </xf>
    <xf numFmtId="0" fontId="6" fillId="9" borderId="5" xfId="0" applyFont="1" applyFill="1" applyBorder="1" applyAlignment="1">
      <alignment horizontal="center" vertical="center"/>
    </xf>
    <xf numFmtId="0" fontId="8" fillId="7" borderId="5" xfId="0" applyFont="1" applyFill="1" applyBorder="1" applyAlignment="1">
      <alignment horizontal="center" vertical="center"/>
    </xf>
    <xf numFmtId="0" fontId="7" fillId="12" borderId="5" xfId="0" applyFont="1" applyFill="1" applyBorder="1" applyAlignment="1">
      <alignment horizontal="center" vertical="center"/>
    </xf>
    <xf numFmtId="0" fontId="6" fillId="11" borderId="5" xfId="0" applyFont="1" applyFill="1" applyBorder="1" applyAlignment="1">
      <alignment horizontal="center" vertical="center"/>
    </xf>
    <xf numFmtId="0" fontId="10" fillId="0" borderId="0" xfId="0" applyFont="1" applyAlignment="1">
      <alignment vertical="center"/>
    </xf>
    <xf numFmtId="0" fontId="9" fillId="0" borderId="0" xfId="0" applyFont="1" applyAlignment="1">
      <alignment vertical="center"/>
    </xf>
    <xf numFmtId="43" fontId="0" fillId="0" borderId="0" xfId="2" applyFont="1" applyAlignment="1">
      <alignment vertical="center"/>
    </xf>
    <xf numFmtId="43" fontId="0" fillId="0" borderId="0" xfId="0" applyNumberFormat="1" applyAlignment="1">
      <alignment vertical="center"/>
    </xf>
    <xf numFmtId="0" fontId="9" fillId="0" borderId="0" xfId="0" applyFont="1" applyAlignment="1">
      <alignment horizontal="center" vertical="center"/>
    </xf>
    <xf numFmtId="0" fontId="9" fillId="0" borderId="0" xfId="0" applyFont="1" applyAlignment="1">
      <alignment horizontal="center"/>
    </xf>
    <xf numFmtId="0" fontId="6" fillId="11" borderId="6" xfId="0" applyFont="1" applyFill="1" applyBorder="1" applyAlignment="1">
      <alignment horizontal="center" vertical="center"/>
    </xf>
    <xf numFmtId="0" fontId="6" fillId="11" borderId="7"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xf>
    <xf numFmtId="0" fontId="6" fillId="5" borderId="6" xfId="0" quotePrefix="1" applyFont="1" applyFill="1" applyBorder="1" applyAlignment="1">
      <alignment horizontal="center" vertical="center"/>
    </xf>
    <xf numFmtId="0" fontId="6" fillId="5" borderId="7" xfId="0" applyFont="1" applyFill="1" applyBorder="1" applyAlignment="1">
      <alignment horizontal="center"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4" fillId="0" borderId="4" xfId="0" applyFont="1" applyBorder="1" applyAlignment="1">
      <alignment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cellXfs>
  <cellStyles count="4">
    <cellStyle name="Hiperlink" xfId="3" builtinId="8"/>
    <cellStyle name="Normal" xfId="0" builtinId="0"/>
    <cellStyle name="Normal 2" xfId="1"/>
    <cellStyle name="Vírgula" xfId="2" builtinId="3"/>
  </cellStyles>
  <dxfs count="0"/>
  <tableStyles count="0" defaultTableStyle="TableStyleMedium2" defaultPivotStyle="PivotStyleLight16"/>
  <colors>
    <mruColors>
      <color rgb="FFFFCCCC"/>
      <color rgb="FFFF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3" Type="http://schemas.openxmlformats.org/officeDocument/2006/relationships/hyperlink" Target="https://www.valor.srv.br/guias/guiasIndex.php?idGuia=360" TargetMode="External"/><Relationship Id="rId18" Type="http://schemas.openxmlformats.org/officeDocument/2006/relationships/hyperlink" Target="https://www.valor.srv.br/guias/guiasIndex.php?idGuia=360" TargetMode="External"/><Relationship Id="rId26" Type="http://schemas.openxmlformats.org/officeDocument/2006/relationships/hyperlink" Target="https://www.valor.srv.br/guias/guiasIndex.php?idGuia=416" TargetMode="External"/><Relationship Id="rId21" Type="http://schemas.openxmlformats.org/officeDocument/2006/relationships/hyperlink" Target="https://www.valor.srv.br/guias/guiasIndex.php?idGuia=367" TargetMode="External"/><Relationship Id="rId34" Type="http://schemas.openxmlformats.org/officeDocument/2006/relationships/hyperlink" Target="https://www.valor.srv.br/guias/guiasIndex.php?idGuia=360" TargetMode="External"/><Relationship Id="rId7" Type="http://schemas.openxmlformats.org/officeDocument/2006/relationships/hyperlink" Target="https://www.valor.srv.br/guias/guiasIndex.php?idGuia=362" TargetMode="External"/><Relationship Id="rId12" Type="http://schemas.openxmlformats.org/officeDocument/2006/relationships/hyperlink" Target="https://www.valor.srv.br/guias/guiasIndex.php?idGuia=414" TargetMode="External"/><Relationship Id="rId17" Type="http://schemas.openxmlformats.org/officeDocument/2006/relationships/hyperlink" Target="https://www.valor.srv.br/guias/guiasIndex.php?idGuia=446" TargetMode="External"/><Relationship Id="rId25" Type="http://schemas.openxmlformats.org/officeDocument/2006/relationships/hyperlink" Target="https://www.valor.srv.br/guias/guiasIndex.php?idGuia=449" TargetMode="External"/><Relationship Id="rId33" Type="http://schemas.openxmlformats.org/officeDocument/2006/relationships/hyperlink" Target="https://www.valor.srv.br/guias/guiasIndex.php?idGuia=453" TargetMode="External"/><Relationship Id="rId2" Type="http://schemas.openxmlformats.org/officeDocument/2006/relationships/hyperlink" Target="https://www.valor.srv.br/guias/guiasIndex.php?idGuia=360" TargetMode="External"/><Relationship Id="rId16" Type="http://schemas.openxmlformats.org/officeDocument/2006/relationships/hyperlink" Target="https://www.valor.srv.br/guias/guiasIndex.php?idGuia=367" TargetMode="External"/><Relationship Id="rId20" Type="http://schemas.openxmlformats.org/officeDocument/2006/relationships/hyperlink" Target="https://www.valor.srv.br/guias/guiasIndex.php?idGuia=586" TargetMode="External"/><Relationship Id="rId29" Type="http://schemas.openxmlformats.org/officeDocument/2006/relationships/hyperlink" Target="https://www.valor.srv.br/guias/guiasIndex.php?idGuia=360" TargetMode="External"/><Relationship Id="rId1" Type="http://schemas.openxmlformats.org/officeDocument/2006/relationships/hyperlink" Target="https://www.valor.srv.br/guias/guiasIndex.php?idGuia=457" TargetMode="External"/><Relationship Id="rId6" Type="http://schemas.openxmlformats.org/officeDocument/2006/relationships/hyperlink" Target="https://www.valor.srv.br/guias/guiasIndex.php?idGuia=390" TargetMode="External"/><Relationship Id="rId11" Type="http://schemas.openxmlformats.org/officeDocument/2006/relationships/hyperlink" Target="https://www.valor.srv.br/guias/guiasIndex.php?idGuia=348" TargetMode="External"/><Relationship Id="rId24" Type="http://schemas.openxmlformats.org/officeDocument/2006/relationships/hyperlink" Target="https://www.valor.srv.br/guias/guiasIndex.php?idGuia=447" TargetMode="External"/><Relationship Id="rId32" Type="http://schemas.openxmlformats.org/officeDocument/2006/relationships/hyperlink" Target="https://www.valor.srv.br/guias/guiasIndex.php?idGuia=452" TargetMode="External"/><Relationship Id="rId37" Type="http://schemas.openxmlformats.org/officeDocument/2006/relationships/hyperlink" Target="https://www.valor.srv.br/guias/guiasIndex.php?idGuia=587" TargetMode="External"/><Relationship Id="rId5" Type="http://schemas.openxmlformats.org/officeDocument/2006/relationships/hyperlink" Target="https://www.valor.srv.br/guias/guiasIndex.php?idGuia=360" TargetMode="External"/><Relationship Id="rId15" Type="http://schemas.openxmlformats.org/officeDocument/2006/relationships/hyperlink" Target="https://www.valor.srv.br/guias/guiasIndex.php?idGuia=586" TargetMode="External"/><Relationship Id="rId23" Type="http://schemas.openxmlformats.org/officeDocument/2006/relationships/hyperlink" Target="https://www.valor.srv.br/guias/guiasIndex.php?idGuia=362" TargetMode="External"/><Relationship Id="rId28" Type="http://schemas.openxmlformats.org/officeDocument/2006/relationships/hyperlink" Target="https://www.valor.srv.br/guias/guiasIndex.php?idGuia=384" TargetMode="External"/><Relationship Id="rId36" Type="http://schemas.openxmlformats.org/officeDocument/2006/relationships/hyperlink" Target="https://www.valor.srv.br/guias/guiasIndex.php?idGuia=362" TargetMode="External"/><Relationship Id="rId10" Type="http://schemas.openxmlformats.org/officeDocument/2006/relationships/hyperlink" Target="https://www.valor.srv.br/guias/guiasIndex.php?idGuia=451" TargetMode="External"/><Relationship Id="rId19" Type="http://schemas.openxmlformats.org/officeDocument/2006/relationships/hyperlink" Target="https://www.valor.srv.br/guias/guiasIndex.php?idGuia=348" TargetMode="External"/><Relationship Id="rId31" Type="http://schemas.openxmlformats.org/officeDocument/2006/relationships/hyperlink" Target="https://www.valor.srv.br/guias/guiasIndex.php?idGuia=586" TargetMode="External"/><Relationship Id="rId4" Type="http://schemas.openxmlformats.org/officeDocument/2006/relationships/hyperlink" Target="https://www.valor.srv.br/guias/guiasIndex.php?idGuia=375" TargetMode="External"/><Relationship Id="rId9" Type="http://schemas.openxmlformats.org/officeDocument/2006/relationships/hyperlink" Target="https://www.valor.srv.br/guias/guiasIndex.php?idGuia=366" TargetMode="External"/><Relationship Id="rId14" Type="http://schemas.openxmlformats.org/officeDocument/2006/relationships/hyperlink" Target="https://www.valor.srv.br/guias/guiasIndex.php?idGuia=348" TargetMode="External"/><Relationship Id="rId22" Type="http://schemas.openxmlformats.org/officeDocument/2006/relationships/hyperlink" Target="https://www.valor.srv.br/guias/guiasIndex.php?idGuia=379" TargetMode="External"/><Relationship Id="rId27" Type="http://schemas.openxmlformats.org/officeDocument/2006/relationships/hyperlink" Target="https://www.valor.srv.br/guias/guiasIndex.php?idGuia=417" TargetMode="External"/><Relationship Id="rId30" Type="http://schemas.openxmlformats.org/officeDocument/2006/relationships/hyperlink" Target="https://www.valor.srv.br/guias/guiasIndex.php?idGuia=348" TargetMode="External"/><Relationship Id="rId35" Type="http://schemas.openxmlformats.org/officeDocument/2006/relationships/hyperlink" Target="https://www.valor.srv.br/guias/guiasIndex.php?idGuia=360" TargetMode="External"/><Relationship Id="rId8" Type="http://schemas.openxmlformats.org/officeDocument/2006/relationships/hyperlink" Target="https://www.valor.srv.br/guias/guiasIndex.php?idGuia=361" TargetMode="External"/><Relationship Id="rId3" Type="http://schemas.openxmlformats.org/officeDocument/2006/relationships/hyperlink" Target="https://www.valor.srv.br/guias/guiasIndex.php?idGuia=36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tabColor theme="4" tint="-0.499984740745262"/>
  </sheetPr>
  <dimension ref="A1:C254"/>
  <sheetViews>
    <sheetView topLeftCell="A184" workbookViewId="0">
      <selection activeCell="C200" sqref="C200"/>
    </sheetView>
  </sheetViews>
  <sheetFormatPr defaultRowHeight="12.75" x14ac:dyDescent="0.2"/>
  <cols>
    <col min="1" max="1" width="10" style="1" customWidth="1"/>
    <col min="2" max="2" width="84.5703125" style="1" customWidth="1"/>
    <col min="3" max="3" width="95.7109375" style="1" bestFit="1" customWidth="1"/>
  </cols>
  <sheetData>
    <row r="1" spans="1:3" x14ac:dyDescent="0.2">
      <c r="A1" s="1" t="s">
        <v>323</v>
      </c>
    </row>
    <row r="2" spans="1:3" x14ac:dyDescent="0.2">
      <c r="A2" s="1" t="s">
        <v>324</v>
      </c>
    </row>
    <row r="3" spans="1:3" x14ac:dyDescent="0.2">
      <c r="A3" s="1" t="s">
        <v>30</v>
      </c>
      <c r="B3" s="1" t="s">
        <v>31</v>
      </c>
      <c r="C3" s="1" t="s">
        <v>325</v>
      </c>
    </row>
    <row r="4" spans="1:3" x14ac:dyDescent="0.2">
      <c r="A4" s="1">
        <v>0</v>
      </c>
      <c r="B4" s="1" t="s">
        <v>326</v>
      </c>
      <c r="C4" s="1" t="s">
        <v>327</v>
      </c>
    </row>
    <row r="5" spans="1:3" x14ac:dyDescent="0.2">
      <c r="A5" s="1">
        <v>1</v>
      </c>
      <c r="B5" s="1" t="s">
        <v>33</v>
      </c>
      <c r="C5" s="1" t="s">
        <v>328</v>
      </c>
    </row>
    <row r="6" spans="1:3" x14ac:dyDescent="0.2">
      <c r="A6" s="1">
        <v>5</v>
      </c>
      <c r="B6" s="1" t="s">
        <v>329</v>
      </c>
      <c r="C6" s="1" t="s">
        <v>327</v>
      </c>
    </row>
    <row r="7" spans="1:3" x14ac:dyDescent="0.2">
      <c r="A7" s="1">
        <v>15</v>
      </c>
      <c r="B7" s="1" t="s">
        <v>330</v>
      </c>
      <c r="C7" s="1" t="s">
        <v>331</v>
      </c>
    </row>
    <row r="8" spans="1:3" x14ac:dyDescent="0.2">
      <c r="A8" s="1">
        <v>100</v>
      </c>
      <c r="B8" s="1" t="s">
        <v>34</v>
      </c>
      <c r="C8" s="1" t="s">
        <v>332</v>
      </c>
    </row>
    <row r="9" spans="1:3" x14ac:dyDescent="0.2">
      <c r="A9" s="1">
        <v>150</v>
      </c>
      <c r="B9" s="1" t="s">
        <v>40</v>
      </c>
      <c r="C9" s="1" t="s">
        <v>333</v>
      </c>
    </row>
    <row r="10" spans="1:3" x14ac:dyDescent="0.2">
      <c r="A10" s="1">
        <v>175</v>
      </c>
      <c r="B10" s="1" t="s">
        <v>334</v>
      </c>
      <c r="C10" s="1" t="s">
        <v>335</v>
      </c>
    </row>
    <row r="11" spans="1:3" x14ac:dyDescent="0.2">
      <c r="A11" s="1">
        <v>190</v>
      </c>
      <c r="B11" s="1" t="s">
        <v>336</v>
      </c>
      <c r="C11" s="1" t="s">
        <v>337</v>
      </c>
    </row>
    <row r="12" spans="1:3" x14ac:dyDescent="0.2">
      <c r="A12" s="1">
        <v>200</v>
      </c>
      <c r="B12" s="1" t="s">
        <v>42</v>
      </c>
      <c r="C12" s="1" t="s">
        <v>338</v>
      </c>
    </row>
    <row r="13" spans="1:3" x14ac:dyDescent="0.2">
      <c r="A13" s="1">
        <v>205</v>
      </c>
      <c r="B13" s="1" t="s">
        <v>43</v>
      </c>
      <c r="C13" s="1" t="s">
        <v>339</v>
      </c>
    </row>
    <row r="14" spans="1:3" x14ac:dyDescent="0.2">
      <c r="A14" s="1">
        <v>206</v>
      </c>
      <c r="B14" s="1" t="s">
        <v>340</v>
      </c>
      <c r="C14" s="1" t="s">
        <v>341</v>
      </c>
    </row>
    <row r="15" spans="1:3" x14ac:dyDescent="0.2">
      <c r="A15" s="1">
        <v>210</v>
      </c>
      <c r="B15" s="1" t="s">
        <v>342</v>
      </c>
      <c r="C15" s="1" t="s">
        <v>343</v>
      </c>
    </row>
    <row r="16" spans="1:3" x14ac:dyDescent="0.2">
      <c r="A16" s="1">
        <v>220</v>
      </c>
      <c r="B16" s="1" t="s">
        <v>344</v>
      </c>
      <c r="C16" s="1" t="s">
        <v>345</v>
      </c>
    </row>
    <row r="17" spans="1:3" x14ac:dyDescent="0.2">
      <c r="A17" s="1">
        <v>300</v>
      </c>
      <c r="B17" s="1" t="s">
        <v>346</v>
      </c>
      <c r="C17" s="1" t="s">
        <v>347</v>
      </c>
    </row>
    <row r="18" spans="1:3" x14ac:dyDescent="0.2">
      <c r="A18" s="1">
        <v>305</v>
      </c>
      <c r="B18" s="1" t="s">
        <v>348</v>
      </c>
      <c r="C18" s="1" t="s">
        <v>347</v>
      </c>
    </row>
    <row r="19" spans="1:3" x14ac:dyDescent="0.2">
      <c r="A19" s="1">
        <v>400</v>
      </c>
      <c r="B19" s="1" t="s">
        <v>46</v>
      </c>
      <c r="C19" s="1" t="s">
        <v>349</v>
      </c>
    </row>
    <row r="20" spans="1:3" x14ac:dyDescent="0.2">
      <c r="A20" s="1">
        <v>450</v>
      </c>
      <c r="B20" s="1" t="s">
        <v>350</v>
      </c>
      <c r="C20" s="1" t="s">
        <v>351</v>
      </c>
    </row>
    <row r="21" spans="1:3" x14ac:dyDescent="0.2">
      <c r="A21" s="1">
        <v>460</v>
      </c>
      <c r="B21" s="1" t="s">
        <v>352</v>
      </c>
      <c r="C21" s="1" t="s">
        <v>353</v>
      </c>
    </row>
    <row r="22" spans="1:3" x14ac:dyDescent="0.2">
      <c r="A22" s="1">
        <v>500</v>
      </c>
      <c r="B22" s="1" t="s">
        <v>354</v>
      </c>
      <c r="C22" s="1" t="s">
        <v>355</v>
      </c>
    </row>
    <row r="23" spans="1:3" x14ac:dyDescent="0.2">
      <c r="A23" s="1">
        <v>600</v>
      </c>
      <c r="B23" s="1" t="s">
        <v>49</v>
      </c>
      <c r="C23" s="1" t="s">
        <v>356</v>
      </c>
    </row>
    <row r="24" spans="1:3" x14ac:dyDescent="0.2">
      <c r="A24" s="1">
        <v>990</v>
      </c>
      <c r="B24" s="1" t="s">
        <v>50</v>
      </c>
      <c r="C24" s="1" t="s">
        <v>328</v>
      </c>
    </row>
    <row r="25" spans="1:3" x14ac:dyDescent="0.2">
      <c r="A25" s="1" t="s">
        <v>357</v>
      </c>
    </row>
    <row r="26" spans="1:3" x14ac:dyDescent="0.2">
      <c r="A26" s="1" t="s">
        <v>30</v>
      </c>
      <c r="B26" s="1" t="s">
        <v>31</v>
      </c>
      <c r="C26" s="1" t="s">
        <v>325</v>
      </c>
    </row>
    <row r="27" spans="1:3" x14ac:dyDescent="0.2">
      <c r="A27" s="1" t="s">
        <v>358</v>
      </c>
      <c r="B27" s="1" t="s">
        <v>359</v>
      </c>
      <c r="C27" s="1" t="s">
        <v>328</v>
      </c>
    </row>
    <row r="28" spans="1:3" x14ac:dyDescent="0.2">
      <c r="A28" s="1" t="s">
        <v>360</v>
      </c>
      <c r="B28" s="1" t="s">
        <v>361</v>
      </c>
      <c r="C28" s="1" t="s">
        <v>362</v>
      </c>
    </row>
    <row r="29" spans="1:3" x14ac:dyDescent="0.2">
      <c r="A29" s="1" t="s">
        <v>363</v>
      </c>
      <c r="B29" s="1" t="s">
        <v>364</v>
      </c>
      <c r="C29" s="1" t="s">
        <v>362</v>
      </c>
    </row>
    <row r="30" spans="1:3" x14ac:dyDescent="0.2">
      <c r="A30" s="1" t="s">
        <v>365</v>
      </c>
      <c r="B30" s="1" t="s">
        <v>366</v>
      </c>
      <c r="C30" s="1" t="s">
        <v>362</v>
      </c>
    </row>
    <row r="31" spans="1:3" x14ac:dyDescent="0.2">
      <c r="A31" s="1" t="s">
        <v>367</v>
      </c>
      <c r="B31" s="1" t="s">
        <v>364</v>
      </c>
      <c r="C31" s="1" t="s">
        <v>362</v>
      </c>
    </row>
    <row r="32" spans="1:3" x14ac:dyDescent="0.2">
      <c r="A32" s="1" t="s">
        <v>368</v>
      </c>
      <c r="B32" s="1" t="s">
        <v>369</v>
      </c>
      <c r="C32" s="1" t="s">
        <v>370</v>
      </c>
    </row>
    <row r="33" spans="1:3" x14ac:dyDescent="0.2">
      <c r="A33" s="1" t="s">
        <v>371</v>
      </c>
      <c r="B33" s="1" t="s">
        <v>372</v>
      </c>
      <c r="C33" s="1" t="s">
        <v>362</v>
      </c>
    </row>
    <row r="34" spans="1:3" x14ac:dyDescent="0.2">
      <c r="A34" s="1" t="s">
        <v>373</v>
      </c>
      <c r="B34" s="1" t="s">
        <v>374</v>
      </c>
      <c r="C34" s="1" t="s">
        <v>362</v>
      </c>
    </row>
    <row r="35" spans="1:3" x14ac:dyDescent="0.2">
      <c r="A35" s="1" t="s">
        <v>375</v>
      </c>
      <c r="B35" s="1" t="s">
        <v>376</v>
      </c>
      <c r="C35" s="1" t="s">
        <v>362</v>
      </c>
    </row>
    <row r="36" spans="1:3" x14ac:dyDescent="0.2">
      <c r="A36" s="1" t="s">
        <v>377</v>
      </c>
      <c r="B36" s="1" t="s">
        <v>378</v>
      </c>
      <c r="C36" s="1" t="s">
        <v>362</v>
      </c>
    </row>
    <row r="37" spans="1:3" x14ac:dyDescent="0.2">
      <c r="A37" s="1" t="s">
        <v>379</v>
      </c>
      <c r="B37" s="1" t="s">
        <v>380</v>
      </c>
      <c r="C37" s="1" t="s">
        <v>370</v>
      </c>
    </row>
    <row r="38" spans="1:3" x14ac:dyDescent="0.2">
      <c r="A38" s="1" t="s">
        <v>381</v>
      </c>
      <c r="B38" s="1" t="s">
        <v>382</v>
      </c>
      <c r="C38" s="1" t="s">
        <v>370</v>
      </c>
    </row>
    <row r="39" spans="1:3" x14ac:dyDescent="0.2">
      <c r="A39" s="1" t="s">
        <v>383</v>
      </c>
      <c r="B39" s="1" t="s">
        <v>384</v>
      </c>
      <c r="C39" s="1" t="s">
        <v>328</v>
      </c>
    </row>
    <row r="40" spans="1:3" x14ac:dyDescent="0.2">
      <c r="A40" s="1" t="s">
        <v>385</v>
      </c>
    </row>
    <row r="41" spans="1:3" x14ac:dyDescent="0.2">
      <c r="A41" s="1" t="s">
        <v>30</v>
      </c>
      <c r="B41" s="1" t="s">
        <v>31</v>
      </c>
      <c r="C41" s="1" t="s">
        <v>325</v>
      </c>
    </row>
    <row r="42" spans="1:3" x14ac:dyDescent="0.2">
      <c r="A42" s="1" t="s">
        <v>2</v>
      </c>
      <c r="B42" s="1" t="s">
        <v>67</v>
      </c>
      <c r="C42" s="1" t="s">
        <v>328</v>
      </c>
    </row>
    <row r="43" spans="1:3" x14ac:dyDescent="0.2">
      <c r="A43" s="1" t="s">
        <v>68</v>
      </c>
      <c r="B43" s="1" t="s">
        <v>386</v>
      </c>
      <c r="C43" s="1" t="s">
        <v>387</v>
      </c>
    </row>
    <row r="44" spans="1:3" x14ac:dyDescent="0.2">
      <c r="A44" s="1" t="s">
        <v>388</v>
      </c>
      <c r="B44" s="1" t="s">
        <v>389</v>
      </c>
      <c r="C44" s="1" t="s">
        <v>390</v>
      </c>
    </row>
    <row r="45" spans="1:3" x14ac:dyDescent="0.2">
      <c r="A45" s="1" t="s">
        <v>70</v>
      </c>
      <c r="B45" s="1" t="s">
        <v>391</v>
      </c>
      <c r="C45" s="1" t="s">
        <v>351</v>
      </c>
    </row>
    <row r="46" spans="1:3" x14ac:dyDescent="0.2">
      <c r="A46" s="1" t="s">
        <v>72</v>
      </c>
      <c r="B46" s="1" t="s">
        <v>392</v>
      </c>
      <c r="C46" s="1" t="s">
        <v>351</v>
      </c>
    </row>
    <row r="47" spans="1:3" x14ac:dyDescent="0.2">
      <c r="A47" s="1" t="s">
        <v>393</v>
      </c>
      <c r="B47" s="1" t="s">
        <v>394</v>
      </c>
      <c r="C47" s="1" t="s">
        <v>395</v>
      </c>
    </row>
    <row r="48" spans="1:3" x14ac:dyDescent="0.2">
      <c r="A48" s="1" t="s">
        <v>396</v>
      </c>
      <c r="B48" s="1" t="s">
        <v>397</v>
      </c>
      <c r="C48" s="1" t="s">
        <v>398</v>
      </c>
    </row>
    <row r="49" spans="1:3" x14ac:dyDescent="0.2">
      <c r="A49" s="1" t="s">
        <v>399</v>
      </c>
      <c r="B49" s="1" t="s">
        <v>400</v>
      </c>
      <c r="C49" s="1" t="s">
        <v>401</v>
      </c>
    </row>
    <row r="50" spans="1:3" x14ac:dyDescent="0.2">
      <c r="A50" s="1" t="s">
        <v>402</v>
      </c>
      <c r="B50" s="1" t="s">
        <v>403</v>
      </c>
      <c r="C50" s="1" t="s">
        <v>404</v>
      </c>
    </row>
    <row r="51" spans="1:3" x14ac:dyDescent="0.2">
      <c r="A51" s="1" t="s">
        <v>405</v>
      </c>
      <c r="B51" s="1" t="s">
        <v>406</v>
      </c>
      <c r="C51" s="1" t="s">
        <v>407</v>
      </c>
    </row>
    <row r="52" spans="1:3" x14ac:dyDescent="0.2">
      <c r="A52" s="1" t="s">
        <v>73</v>
      </c>
      <c r="B52" s="1" t="s">
        <v>408</v>
      </c>
      <c r="C52" s="1" t="s">
        <v>409</v>
      </c>
    </row>
    <row r="53" spans="1:3" x14ac:dyDescent="0.2">
      <c r="A53" s="1" t="s">
        <v>410</v>
      </c>
      <c r="B53" s="1" t="s">
        <v>411</v>
      </c>
      <c r="C53" s="1" t="s">
        <v>387</v>
      </c>
    </row>
    <row r="54" spans="1:3" x14ac:dyDescent="0.2">
      <c r="A54" s="1" t="s">
        <v>412</v>
      </c>
      <c r="B54" s="1" t="s">
        <v>413</v>
      </c>
      <c r="C54" s="1" t="s">
        <v>414</v>
      </c>
    </row>
    <row r="55" spans="1:3" x14ac:dyDescent="0.2">
      <c r="A55" s="1" t="s">
        <v>415</v>
      </c>
      <c r="B55" s="1" t="s">
        <v>416</v>
      </c>
      <c r="C55" s="1" t="s">
        <v>414</v>
      </c>
    </row>
    <row r="56" spans="1:3" x14ac:dyDescent="0.2">
      <c r="A56" s="1" t="s">
        <v>417</v>
      </c>
      <c r="B56" s="1" t="s">
        <v>418</v>
      </c>
      <c r="C56" s="1" t="s">
        <v>404</v>
      </c>
    </row>
    <row r="57" spans="1:3" x14ac:dyDescent="0.2">
      <c r="A57" s="1" t="s">
        <v>419</v>
      </c>
      <c r="B57" s="1" t="s">
        <v>420</v>
      </c>
      <c r="C57" s="1" t="s">
        <v>404</v>
      </c>
    </row>
    <row r="58" spans="1:3" x14ac:dyDescent="0.2">
      <c r="A58" s="1" t="s">
        <v>75</v>
      </c>
      <c r="B58" s="1" t="s">
        <v>421</v>
      </c>
      <c r="C58" s="1" t="s">
        <v>422</v>
      </c>
    </row>
    <row r="59" spans="1:3" x14ac:dyDescent="0.2">
      <c r="A59" s="1" t="s">
        <v>423</v>
      </c>
      <c r="B59" s="1" t="s">
        <v>424</v>
      </c>
      <c r="C59" s="1" t="s">
        <v>407</v>
      </c>
    </row>
    <row r="60" spans="1:3" x14ac:dyDescent="0.2">
      <c r="A60" s="1" t="s">
        <v>425</v>
      </c>
      <c r="B60" s="1" t="s">
        <v>426</v>
      </c>
      <c r="C60" s="1" t="s">
        <v>427</v>
      </c>
    </row>
    <row r="61" spans="1:3" x14ac:dyDescent="0.2">
      <c r="A61" s="1" t="s">
        <v>428</v>
      </c>
      <c r="B61" s="1" t="s">
        <v>429</v>
      </c>
      <c r="C61" s="1" t="s">
        <v>430</v>
      </c>
    </row>
    <row r="62" spans="1:3" x14ac:dyDescent="0.2">
      <c r="A62" s="1" t="s">
        <v>431</v>
      </c>
      <c r="B62" s="1" t="s">
        <v>432</v>
      </c>
      <c r="C62" s="1" t="s">
        <v>433</v>
      </c>
    </row>
    <row r="63" spans="1:3" x14ac:dyDescent="0.2">
      <c r="A63" s="1" t="s">
        <v>77</v>
      </c>
      <c r="B63" s="1" t="s">
        <v>434</v>
      </c>
      <c r="C63" s="1" t="s">
        <v>407</v>
      </c>
    </row>
    <row r="64" spans="1:3" x14ac:dyDescent="0.2">
      <c r="A64" s="1" t="s">
        <v>435</v>
      </c>
      <c r="B64" s="1" t="s">
        <v>436</v>
      </c>
      <c r="C64" s="1" t="s">
        <v>437</v>
      </c>
    </row>
    <row r="65" spans="1:3" x14ac:dyDescent="0.2">
      <c r="A65" s="1" t="s">
        <v>438</v>
      </c>
      <c r="B65" s="1" t="s">
        <v>439</v>
      </c>
      <c r="C65" s="1" t="s">
        <v>407</v>
      </c>
    </row>
    <row r="66" spans="1:3" x14ac:dyDescent="0.2">
      <c r="A66" s="1" t="s">
        <v>440</v>
      </c>
      <c r="B66" s="1" t="s">
        <v>441</v>
      </c>
      <c r="C66" s="1" t="s">
        <v>407</v>
      </c>
    </row>
    <row r="67" spans="1:3" x14ac:dyDescent="0.2">
      <c r="A67" s="1" t="s">
        <v>442</v>
      </c>
      <c r="B67" s="1" t="s">
        <v>443</v>
      </c>
      <c r="C67" s="1" t="s">
        <v>444</v>
      </c>
    </row>
    <row r="68" spans="1:3" x14ac:dyDescent="0.2">
      <c r="A68" s="1" t="s">
        <v>4</v>
      </c>
      <c r="B68" s="1" t="s">
        <v>445</v>
      </c>
      <c r="C68" s="1" t="s">
        <v>446</v>
      </c>
    </row>
    <row r="69" spans="1:3" x14ac:dyDescent="0.2">
      <c r="A69" s="1" t="s">
        <v>5</v>
      </c>
      <c r="B69" s="1" t="s">
        <v>447</v>
      </c>
      <c r="C69" s="1" t="s">
        <v>387</v>
      </c>
    </row>
    <row r="70" spans="1:3" x14ac:dyDescent="0.2">
      <c r="A70" s="1" t="s">
        <v>6</v>
      </c>
      <c r="B70" s="1" t="s">
        <v>448</v>
      </c>
      <c r="C70" s="1" t="s">
        <v>353</v>
      </c>
    </row>
    <row r="71" spans="1:3" x14ac:dyDescent="0.2">
      <c r="A71" s="1" t="s">
        <v>449</v>
      </c>
      <c r="B71" s="1" t="s">
        <v>450</v>
      </c>
      <c r="C71" s="1" t="s">
        <v>353</v>
      </c>
    </row>
    <row r="72" spans="1:3" x14ac:dyDescent="0.2">
      <c r="A72" s="1" t="s">
        <v>451</v>
      </c>
      <c r="B72" s="1" t="s">
        <v>452</v>
      </c>
      <c r="C72" s="1" t="s">
        <v>404</v>
      </c>
    </row>
    <row r="73" spans="1:3" x14ac:dyDescent="0.2">
      <c r="A73" s="1" t="s">
        <v>453</v>
      </c>
      <c r="B73" s="1" t="s">
        <v>454</v>
      </c>
      <c r="C73" s="1" t="s">
        <v>404</v>
      </c>
    </row>
    <row r="74" spans="1:3" x14ac:dyDescent="0.2">
      <c r="A74" s="1" t="s">
        <v>455</v>
      </c>
      <c r="B74" s="1" t="s">
        <v>456</v>
      </c>
      <c r="C74" s="1" t="s">
        <v>427</v>
      </c>
    </row>
    <row r="75" spans="1:3" x14ac:dyDescent="0.2">
      <c r="A75" s="1" t="s">
        <v>457</v>
      </c>
      <c r="B75" s="1" t="s">
        <v>458</v>
      </c>
      <c r="C75" s="1" t="s">
        <v>427</v>
      </c>
    </row>
    <row r="76" spans="1:3" x14ac:dyDescent="0.2">
      <c r="A76" s="1" t="s">
        <v>459</v>
      </c>
      <c r="B76" s="1" t="s">
        <v>460</v>
      </c>
      <c r="C76" s="1" t="s">
        <v>404</v>
      </c>
    </row>
    <row r="77" spans="1:3" x14ac:dyDescent="0.2">
      <c r="A77" s="1" t="s">
        <v>461</v>
      </c>
      <c r="B77" s="1" t="s">
        <v>462</v>
      </c>
      <c r="C77" s="1" t="s">
        <v>427</v>
      </c>
    </row>
    <row r="78" spans="1:3" x14ac:dyDescent="0.2">
      <c r="A78" s="1" t="s">
        <v>463</v>
      </c>
      <c r="B78" s="1" t="s">
        <v>456</v>
      </c>
      <c r="C78" s="1" t="s">
        <v>427</v>
      </c>
    </row>
    <row r="79" spans="1:3" x14ac:dyDescent="0.2">
      <c r="A79" s="1" t="s">
        <v>102</v>
      </c>
      <c r="B79" s="1" t="s">
        <v>464</v>
      </c>
      <c r="C79" s="1" t="s">
        <v>465</v>
      </c>
    </row>
    <row r="80" spans="1:3" x14ac:dyDescent="0.2">
      <c r="A80" s="1" t="s">
        <v>104</v>
      </c>
      <c r="B80" s="1" t="s">
        <v>466</v>
      </c>
      <c r="C80" s="1" t="s">
        <v>465</v>
      </c>
    </row>
    <row r="81" spans="1:3" x14ac:dyDescent="0.2">
      <c r="A81" s="1" t="s">
        <v>467</v>
      </c>
      <c r="B81" s="1" t="s">
        <v>468</v>
      </c>
      <c r="C81" s="1" t="s">
        <v>401</v>
      </c>
    </row>
    <row r="82" spans="1:3" x14ac:dyDescent="0.2">
      <c r="A82" s="1" t="s">
        <v>469</v>
      </c>
      <c r="B82" s="1" t="s">
        <v>470</v>
      </c>
      <c r="C82" s="1" t="s">
        <v>401</v>
      </c>
    </row>
    <row r="83" spans="1:3" x14ac:dyDescent="0.2">
      <c r="A83" s="1" t="s">
        <v>471</v>
      </c>
      <c r="B83" s="1" t="s">
        <v>472</v>
      </c>
      <c r="C83" s="1" t="s">
        <v>473</v>
      </c>
    </row>
    <row r="84" spans="1:3" x14ac:dyDescent="0.2">
      <c r="A84" s="1" t="s">
        <v>474</v>
      </c>
      <c r="B84" s="1" t="s">
        <v>475</v>
      </c>
      <c r="C84" s="1" t="s">
        <v>401</v>
      </c>
    </row>
    <row r="85" spans="1:3" x14ac:dyDescent="0.2">
      <c r="A85" s="1" t="s">
        <v>476</v>
      </c>
      <c r="B85" s="1" t="s">
        <v>477</v>
      </c>
      <c r="C85" s="1" t="s">
        <v>473</v>
      </c>
    </row>
    <row r="86" spans="1:3" x14ac:dyDescent="0.2">
      <c r="A86" s="1" t="s">
        <v>7</v>
      </c>
      <c r="B86" s="1" t="s">
        <v>478</v>
      </c>
      <c r="C86" s="1" t="s">
        <v>473</v>
      </c>
    </row>
    <row r="87" spans="1:3" x14ac:dyDescent="0.2">
      <c r="A87" s="1" t="s">
        <v>9</v>
      </c>
      <c r="B87" s="1" t="s">
        <v>479</v>
      </c>
      <c r="C87" s="1" t="s">
        <v>473</v>
      </c>
    </row>
    <row r="88" spans="1:3" x14ac:dyDescent="0.2">
      <c r="A88" s="1" t="s">
        <v>115</v>
      </c>
      <c r="B88" s="1" t="s">
        <v>480</v>
      </c>
      <c r="C88" s="1" t="s">
        <v>387</v>
      </c>
    </row>
    <row r="89" spans="1:3" x14ac:dyDescent="0.2">
      <c r="A89" s="1" t="s">
        <v>481</v>
      </c>
      <c r="B89" s="1" t="s">
        <v>482</v>
      </c>
      <c r="C89" s="1" t="s">
        <v>444</v>
      </c>
    </row>
    <row r="90" spans="1:3" x14ac:dyDescent="0.2">
      <c r="A90" s="1" t="s">
        <v>483</v>
      </c>
      <c r="B90" s="1" t="s">
        <v>484</v>
      </c>
      <c r="C90" s="1" t="s">
        <v>444</v>
      </c>
    </row>
    <row r="91" spans="1:3" x14ac:dyDescent="0.2">
      <c r="A91" s="1" t="s">
        <v>122</v>
      </c>
      <c r="B91" s="1" t="s">
        <v>485</v>
      </c>
      <c r="C91" s="1" t="s">
        <v>387</v>
      </c>
    </row>
    <row r="92" spans="1:3" x14ac:dyDescent="0.2">
      <c r="A92" s="1" t="s">
        <v>124</v>
      </c>
      <c r="B92" s="1" t="s">
        <v>486</v>
      </c>
      <c r="C92" s="1" t="s">
        <v>387</v>
      </c>
    </row>
    <row r="93" spans="1:3" x14ac:dyDescent="0.2">
      <c r="A93" s="1" t="s">
        <v>487</v>
      </c>
      <c r="B93" s="1" t="s">
        <v>488</v>
      </c>
      <c r="C93" s="1" t="s">
        <v>444</v>
      </c>
    </row>
    <row r="94" spans="1:3" x14ac:dyDescent="0.2">
      <c r="A94" s="1" t="s">
        <v>489</v>
      </c>
      <c r="B94" s="1" t="s">
        <v>490</v>
      </c>
      <c r="C94" s="1" t="s">
        <v>444</v>
      </c>
    </row>
    <row r="95" spans="1:3" x14ac:dyDescent="0.2">
      <c r="A95" s="1" t="s">
        <v>491</v>
      </c>
      <c r="B95" s="1" t="s">
        <v>492</v>
      </c>
      <c r="C95" s="1" t="s">
        <v>407</v>
      </c>
    </row>
    <row r="96" spans="1:3" x14ac:dyDescent="0.2">
      <c r="A96" s="1" t="s">
        <v>493</v>
      </c>
      <c r="B96" s="1" t="s">
        <v>494</v>
      </c>
      <c r="C96" s="1" t="s">
        <v>407</v>
      </c>
    </row>
    <row r="97" spans="1:3" x14ac:dyDescent="0.2">
      <c r="A97" s="1" t="s">
        <v>495</v>
      </c>
      <c r="B97" s="1" t="s">
        <v>496</v>
      </c>
      <c r="C97" s="1" t="s">
        <v>407</v>
      </c>
    </row>
    <row r="98" spans="1:3" x14ac:dyDescent="0.2">
      <c r="A98" s="1" t="s">
        <v>129</v>
      </c>
      <c r="B98" s="1" t="s">
        <v>497</v>
      </c>
      <c r="C98" s="1" t="s">
        <v>498</v>
      </c>
    </row>
    <row r="99" spans="1:3" x14ac:dyDescent="0.2">
      <c r="A99" s="1" t="s">
        <v>499</v>
      </c>
      <c r="B99" s="1" t="s">
        <v>500</v>
      </c>
      <c r="C99" s="1" t="s">
        <v>473</v>
      </c>
    </row>
    <row r="100" spans="1:3" x14ac:dyDescent="0.2">
      <c r="A100" s="1" t="s">
        <v>137</v>
      </c>
      <c r="B100" s="1" t="s">
        <v>501</v>
      </c>
      <c r="C100" s="1" t="s">
        <v>498</v>
      </c>
    </row>
    <row r="101" spans="1:3" x14ac:dyDescent="0.2">
      <c r="A101" s="1" t="s">
        <v>143</v>
      </c>
      <c r="B101" s="1" t="s">
        <v>502</v>
      </c>
      <c r="C101" s="1" t="s">
        <v>473</v>
      </c>
    </row>
    <row r="102" spans="1:3" x14ac:dyDescent="0.2">
      <c r="A102" s="1" t="s">
        <v>10</v>
      </c>
      <c r="B102" s="1" t="s">
        <v>503</v>
      </c>
      <c r="C102" s="1" t="s">
        <v>328</v>
      </c>
    </row>
    <row r="103" spans="1:3" x14ac:dyDescent="0.2">
      <c r="A103" s="1" t="s">
        <v>504</v>
      </c>
    </row>
    <row r="104" spans="1:3" x14ac:dyDescent="0.2">
      <c r="A104" s="1" t="s">
        <v>30</v>
      </c>
      <c r="B104" s="1" t="s">
        <v>31</v>
      </c>
      <c r="C104" s="1" t="s">
        <v>325</v>
      </c>
    </row>
    <row r="105" spans="1:3" x14ac:dyDescent="0.2">
      <c r="A105" s="1" t="s">
        <v>11</v>
      </c>
      <c r="B105" s="1" t="s">
        <v>146</v>
      </c>
      <c r="C105" s="1" t="s">
        <v>328</v>
      </c>
    </row>
    <row r="106" spans="1:3" x14ac:dyDescent="0.2">
      <c r="A106" s="1" t="s">
        <v>148</v>
      </c>
      <c r="B106" s="1" t="s">
        <v>505</v>
      </c>
      <c r="C106" s="1" t="s">
        <v>387</v>
      </c>
    </row>
    <row r="107" spans="1:3" x14ac:dyDescent="0.2">
      <c r="A107" s="1" t="s">
        <v>150</v>
      </c>
      <c r="B107" s="1" t="s">
        <v>389</v>
      </c>
      <c r="C107" s="1" t="s">
        <v>390</v>
      </c>
    </row>
    <row r="108" spans="1:3" x14ac:dyDescent="0.2">
      <c r="A108" s="1" t="s">
        <v>506</v>
      </c>
      <c r="B108" s="1" t="s">
        <v>507</v>
      </c>
      <c r="C108" s="1" t="s">
        <v>444</v>
      </c>
    </row>
    <row r="109" spans="1:3" x14ac:dyDescent="0.2">
      <c r="A109" s="1" t="s">
        <v>508</v>
      </c>
      <c r="B109" s="1" t="s">
        <v>509</v>
      </c>
      <c r="C109" s="1" t="s">
        <v>387</v>
      </c>
    </row>
    <row r="110" spans="1:3" x14ac:dyDescent="0.2">
      <c r="A110" s="1" t="s">
        <v>510</v>
      </c>
      <c r="B110" s="1" t="s">
        <v>511</v>
      </c>
      <c r="C110" s="1" t="s">
        <v>387</v>
      </c>
    </row>
    <row r="111" spans="1:3" x14ac:dyDescent="0.2">
      <c r="A111" s="1" t="s">
        <v>512</v>
      </c>
      <c r="B111" s="1" t="s">
        <v>513</v>
      </c>
      <c r="C111" s="1" t="s">
        <v>407</v>
      </c>
    </row>
    <row r="112" spans="1:3" x14ac:dyDescent="0.2">
      <c r="A112" s="1" t="s">
        <v>514</v>
      </c>
      <c r="B112" s="1" t="s">
        <v>515</v>
      </c>
      <c r="C112" s="1" t="s">
        <v>407</v>
      </c>
    </row>
    <row r="113" spans="1:3" x14ac:dyDescent="0.2">
      <c r="A113" s="1" t="s">
        <v>516</v>
      </c>
      <c r="B113" s="1" t="s">
        <v>517</v>
      </c>
      <c r="C113" s="1" t="s">
        <v>518</v>
      </c>
    </row>
    <row r="114" spans="1:3" x14ac:dyDescent="0.2">
      <c r="A114" s="1" t="s">
        <v>519</v>
      </c>
      <c r="B114" s="1" t="s">
        <v>520</v>
      </c>
      <c r="C114" s="1" t="s">
        <v>518</v>
      </c>
    </row>
    <row r="115" spans="1:3" x14ac:dyDescent="0.2">
      <c r="A115" s="1" t="s">
        <v>521</v>
      </c>
      <c r="B115" s="1" t="s">
        <v>522</v>
      </c>
      <c r="C115" s="1" t="s">
        <v>518</v>
      </c>
    </row>
    <row r="116" spans="1:3" x14ac:dyDescent="0.2">
      <c r="A116" s="1" t="s">
        <v>523</v>
      </c>
      <c r="B116" s="1" t="s">
        <v>524</v>
      </c>
      <c r="C116" s="1" t="s">
        <v>407</v>
      </c>
    </row>
    <row r="117" spans="1:3" x14ac:dyDescent="0.2">
      <c r="A117" s="1" t="s">
        <v>525</v>
      </c>
      <c r="B117" s="1" t="s">
        <v>526</v>
      </c>
      <c r="C117" s="1" t="s">
        <v>407</v>
      </c>
    </row>
    <row r="118" spans="1:3" x14ac:dyDescent="0.2">
      <c r="A118" s="1" t="s">
        <v>527</v>
      </c>
      <c r="B118" s="1" t="s">
        <v>528</v>
      </c>
      <c r="C118" s="1" t="s">
        <v>444</v>
      </c>
    </row>
    <row r="119" spans="1:3" x14ac:dyDescent="0.2">
      <c r="A119" s="1" t="s">
        <v>529</v>
      </c>
      <c r="B119" s="1" t="s">
        <v>530</v>
      </c>
      <c r="C119" s="1" t="s">
        <v>353</v>
      </c>
    </row>
    <row r="120" spans="1:3" x14ac:dyDescent="0.2">
      <c r="A120" s="1" t="s">
        <v>531</v>
      </c>
      <c r="B120" s="1" t="s">
        <v>532</v>
      </c>
      <c r="C120" s="1" t="s">
        <v>353</v>
      </c>
    </row>
    <row r="121" spans="1:3" x14ac:dyDescent="0.2">
      <c r="A121" s="1" t="s">
        <v>162</v>
      </c>
      <c r="B121" s="1" t="s">
        <v>533</v>
      </c>
      <c r="C121" s="1" t="s">
        <v>404</v>
      </c>
    </row>
    <row r="122" spans="1:3" x14ac:dyDescent="0.2">
      <c r="A122" s="1" t="s">
        <v>534</v>
      </c>
      <c r="B122" s="1" t="s">
        <v>535</v>
      </c>
      <c r="C122" s="1" t="s">
        <v>404</v>
      </c>
    </row>
    <row r="123" spans="1:3" x14ac:dyDescent="0.2">
      <c r="A123" s="1" t="s">
        <v>536</v>
      </c>
      <c r="B123" s="1" t="s">
        <v>537</v>
      </c>
      <c r="C123" s="1" t="s">
        <v>427</v>
      </c>
    </row>
    <row r="124" spans="1:3" x14ac:dyDescent="0.2">
      <c r="A124" s="1" t="s">
        <v>164</v>
      </c>
      <c r="B124" s="1" t="s">
        <v>538</v>
      </c>
      <c r="C124" s="1" t="s">
        <v>465</v>
      </c>
    </row>
    <row r="125" spans="1:3" x14ac:dyDescent="0.2">
      <c r="A125" s="1" t="s">
        <v>539</v>
      </c>
      <c r="B125" s="1" t="s">
        <v>540</v>
      </c>
      <c r="C125" s="1" t="s">
        <v>465</v>
      </c>
    </row>
    <row r="126" spans="1:3" x14ac:dyDescent="0.2">
      <c r="A126" s="1" t="s">
        <v>541</v>
      </c>
      <c r="B126" s="1" t="s">
        <v>542</v>
      </c>
      <c r="C126" s="1" t="s">
        <v>401</v>
      </c>
    </row>
    <row r="127" spans="1:3" x14ac:dyDescent="0.2">
      <c r="A127" s="1" t="s">
        <v>543</v>
      </c>
      <c r="B127" s="1" t="s">
        <v>544</v>
      </c>
      <c r="C127" s="1" t="s">
        <v>401</v>
      </c>
    </row>
    <row r="128" spans="1:3" x14ac:dyDescent="0.2">
      <c r="A128" s="1" t="s">
        <v>545</v>
      </c>
      <c r="B128" s="1" t="s">
        <v>546</v>
      </c>
      <c r="C128" s="1" t="s">
        <v>401</v>
      </c>
    </row>
    <row r="129" spans="1:3" x14ac:dyDescent="0.2">
      <c r="A129" s="1" t="s">
        <v>547</v>
      </c>
      <c r="B129" s="1" t="s">
        <v>548</v>
      </c>
      <c r="C129" s="1" t="s">
        <v>473</v>
      </c>
    </row>
    <row r="130" spans="1:3" x14ac:dyDescent="0.2">
      <c r="A130" s="1" t="s">
        <v>549</v>
      </c>
      <c r="B130" s="1" t="s">
        <v>550</v>
      </c>
      <c r="C130" s="1" t="s">
        <v>404</v>
      </c>
    </row>
    <row r="131" spans="1:3" x14ac:dyDescent="0.2">
      <c r="A131" s="1" t="s">
        <v>551</v>
      </c>
      <c r="B131" s="1" t="s">
        <v>552</v>
      </c>
      <c r="C131" s="1" t="s">
        <v>407</v>
      </c>
    </row>
    <row r="132" spans="1:3" x14ac:dyDescent="0.2">
      <c r="A132" s="1" t="s">
        <v>553</v>
      </c>
      <c r="B132" s="1" t="s">
        <v>554</v>
      </c>
      <c r="C132" s="1" t="s">
        <v>407</v>
      </c>
    </row>
    <row r="133" spans="1:3" x14ac:dyDescent="0.2">
      <c r="A133" s="1" t="s">
        <v>555</v>
      </c>
      <c r="B133" s="1" t="s">
        <v>556</v>
      </c>
      <c r="C133" s="1" t="s">
        <v>404</v>
      </c>
    </row>
    <row r="134" spans="1:3" x14ac:dyDescent="0.2">
      <c r="A134" s="1" t="s">
        <v>167</v>
      </c>
      <c r="B134" s="1" t="s">
        <v>557</v>
      </c>
      <c r="C134" s="1" t="s">
        <v>387</v>
      </c>
    </row>
    <row r="135" spans="1:3" x14ac:dyDescent="0.2">
      <c r="A135" s="1" t="s">
        <v>558</v>
      </c>
      <c r="B135" s="1" t="s">
        <v>559</v>
      </c>
      <c r="C135" s="1" t="s">
        <v>444</v>
      </c>
    </row>
    <row r="136" spans="1:3" x14ac:dyDescent="0.2">
      <c r="A136" s="1" t="s">
        <v>560</v>
      </c>
      <c r="B136" s="1" t="s">
        <v>561</v>
      </c>
      <c r="C136" s="1" t="s">
        <v>407</v>
      </c>
    </row>
    <row r="137" spans="1:3" x14ac:dyDescent="0.2">
      <c r="A137" s="1" t="s">
        <v>562</v>
      </c>
      <c r="B137" s="1" t="s">
        <v>563</v>
      </c>
      <c r="C137" s="1" t="s">
        <v>444</v>
      </c>
    </row>
    <row r="138" spans="1:3" x14ac:dyDescent="0.2">
      <c r="A138" s="1" t="s">
        <v>174</v>
      </c>
      <c r="B138" s="1" t="s">
        <v>564</v>
      </c>
      <c r="C138" s="1" t="s">
        <v>404</v>
      </c>
    </row>
    <row r="139" spans="1:3" x14ac:dyDescent="0.2">
      <c r="A139" s="1" t="s">
        <v>565</v>
      </c>
      <c r="B139" s="1" t="s">
        <v>566</v>
      </c>
      <c r="C139" s="1" t="s">
        <v>427</v>
      </c>
    </row>
    <row r="140" spans="1:3" x14ac:dyDescent="0.2">
      <c r="A140" s="1" t="s">
        <v>567</v>
      </c>
      <c r="B140" s="1" t="s">
        <v>568</v>
      </c>
      <c r="C140" s="1" t="s">
        <v>427</v>
      </c>
    </row>
    <row r="141" spans="1:3" x14ac:dyDescent="0.2">
      <c r="A141" s="1" t="s">
        <v>569</v>
      </c>
      <c r="B141" s="1" t="s">
        <v>564</v>
      </c>
      <c r="C141" s="1" t="s">
        <v>404</v>
      </c>
    </row>
    <row r="142" spans="1:3" x14ac:dyDescent="0.2">
      <c r="A142" s="1" t="s">
        <v>570</v>
      </c>
      <c r="B142" s="1" t="s">
        <v>568</v>
      </c>
      <c r="C142" s="1" t="s">
        <v>427</v>
      </c>
    </row>
    <row r="143" spans="1:3" x14ac:dyDescent="0.2">
      <c r="A143" s="1" t="s">
        <v>571</v>
      </c>
      <c r="B143" s="1" t="s">
        <v>572</v>
      </c>
      <c r="C143" s="1" t="s">
        <v>427</v>
      </c>
    </row>
    <row r="144" spans="1:3" x14ac:dyDescent="0.2">
      <c r="A144" s="1" t="s">
        <v>12</v>
      </c>
      <c r="B144" s="1" t="s">
        <v>181</v>
      </c>
      <c r="C144" s="1" t="s">
        <v>328</v>
      </c>
    </row>
    <row r="145" spans="1:3" x14ac:dyDescent="0.2">
      <c r="A145" s="1" t="s">
        <v>573</v>
      </c>
    </row>
    <row r="146" spans="1:3" x14ac:dyDescent="0.2">
      <c r="A146" s="1" t="s">
        <v>30</v>
      </c>
      <c r="B146" s="1" t="s">
        <v>31</v>
      </c>
      <c r="C146" s="1" t="s">
        <v>325</v>
      </c>
    </row>
    <row r="147" spans="1:3" x14ac:dyDescent="0.2">
      <c r="A147" s="1" t="s">
        <v>574</v>
      </c>
      <c r="B147" s="1" t="s">
        <v>575</v>
      </c>
      <c r="C147" s="1" t="s">
        <v>328</v>
      </c>
    </row>
    <row r="148" spans="1:3" x14ac:dyDescent="0.2">
      <c r="A148" s="1" t="s">
        <v>576</v>
      </c>
      <c r="B148" s="1" t="s">
        <v>577</v>
      </c>
      <c r="C148" s="1" t="s">
        <v>578</v>
      </c>
    </row>
    <row r="149" spans="1:3" x14ac:dyDescent="0.2">
      <c r="A149" s="1" t="s">
        <v>579</v>
      </c>
      <c r="B149" s="1" t="s">
        <v>580</v>
      </c>
      <c r="C149" s="1" t="s">
        <v>578</v>
      </c>
    </row>
    <row r="150" spans="1:3" x14ac:dyDescent="0.2">
      <c r="A150" s="1" t="s">
        <v>581</v>
      </c>
      <c r="B150" s="1" t="s">
        <v>582</v>
      </c>
      <c r="C150" s="1" t="s">
        <v>578</v>
      </c>
    </row>
    <row r="151" spans="1:3" x14ac:dyDescent="0.2">
      <c r="A151" s="1" t="s">
        <v>583</v>
      </c>
      <c r="B151" s="1" t="s">
        <v>584</v>
      </c>
      <c r="C151" s="1" t="s">
        <v>353</v>
      </c>
    </row>
    <row r="152" spans="1:3" x14ac:dyDescent="0.2">
      <c r="A152" s="1" t="s">
        <v>585</v>
      </c>
      <c r="B152" s="1" t="s">
        <v>586</v>
      </c>
      <c r="C152" s="1" t="s">
        <v>444</v>
      </c>
    </row>
    <row r="153" spans="1:3" x14ac:dyDescent="0.2">
      <c r="A153" s="1" t="s">
        <v>587</v>
      </c>
      <c r="B153" s="1" t="s">
        <v>588</v>
      </c>
      <c r="C153" s="1" t="s">
        <v>589</v>
      </c>
    </row>
    <row r="154" spans="1:3" x14ac:dyDescent="0.2">
      <c r="A154" s="1" t="s">
        <v>590</v>
      </c>
      <c r="B154" s="1" t="s">
        <v>591</v>
      </c>
      <c r="C154" s="1" t="s">
        <v>592</v>
      </c>
    </row>
    <row r="155" spans="1:3" x14ac:dyDescent="0.2">
      <c r="A155" s="1" t="s">
        <v>593</v>
      </c>
      <c r="B155" s="1" t="s">
        <v>594</v>
      </c>
      <c r="C155" s="1" t="s">
        <v>595</v>
      </c>
    </row>
    <row r="156" spans="1:3" x14ac:dyDescent="0.2">
      <c r="A156" s="1" t="s">
        <v>596</v>
      </c>
      <c r="B156" s="1" t="s">
        <v>597</v>
      </c>
      <c r="C156" s="1" t="s">
        <v>598</v>
      </c>
    </row>
    <row r="157" spans="1:3" x14ac:dyDescent="0.2">
      <c r="A157" s="1" t="s">
        <v>599</v>
      </c>
      <c r="B157" s="1" t="s">
        <v>600</v>
      </c>
      <c r="C157" s="1" t="s">
        <v>598</v>
      </c>
    </row>
    <row r="158" spans="1:3" x14ac:dyDescent="0.2">
      <c r="A158" s="1" t="s">
        <v>601</v>
      </c>
      <c r="B158" s="1" t="s">
        <v>602</v>
      </c>
      <c r="C158" s="1" t="s">
        <v>353</v>
      </c>
    </row>
    <row r="159" spans="1:3" x14ac:dyDescent="0.2">
      <c r="A159" s="1" t="s">
        <v>603</v>
      </c>
      <c r="B159" s="1" t="s">
        <v>604</v>
      </c>
      <c r="C159" s="1" t="s">
        <v>444</v>
      </c>
    </row>
    <row r="160" spans="1:3" x14ac:dyDescent="0.2">
      <c r="A160" s="1" t="s">
        <v>605</v>
      </c>
      <c r="B160" s="1" t="s">
        <v>606</v>
      </c>
      <c r="C160" s="1" t="s">
        <v>607</v>
      </c>
    </row>
    <row r="161" spans="1:3" x14ac:dyDescent="0.2">
      <c r="A161" s="1" t="s">
        <v>608</v>
      </c>
      <c r="B161" s="1" t="s">
        <v>609</v>
      </c>
      <c r="C161" s="1" t="s">
        <v>595</v>
      </c>
    </row>
    <row r="162" spans="1:3" x14ac:dyDescent="0.2">
      <c r="A162" s="1" t="s">
        <v>610</v>
      </c>
      <c r="B162" s="1" t="s">
        <v>611</v>
      </c>
      <c r="C162" s="1" t="s">
        <v>595</v>
      </c>
    </row>
    <row r="163" spans="1:3" x14ac:dyDescent="0.2">
      <c r="A163" s="1" t="s">
        <v>612</v>
      </c>
      <c r="B163" s="1" t="s">
        <v>613</v>
      </c>
      <c r="C163" s="1" t="s">
        <v>595</v>
      </c>
    </row>
    <row r="164" spans="1:3" x14ac:dyDescent="0.2">
      <c r="A164" s="1" t="s">
        <v>614</v>
      </c>
      <c r="B164" s="1" t="s">
        <v>615</v>
      </c>
      <c r="C164" s="1" t="s">
        <v>353</v>
      </c>
    </row>
    <row r="165" spans="1:3" x14ac:dyDescent="0.2">
      <c r="A165" s="1" t="s">
        <v>616</v>
      </c>
      <c r="B165" s="1" t="s">
        <v>617</v>
      </c>
      <c r="C165" s="1" t="s">
        <v>618</v>
      </c>
    </row>
    <row r="166" spans="1:3" x14ac:dyDescent="0.2">
      <c r="A166" s="1" t="s">
        <v>619</v>
      </c>
      <c r="B166" s="1" t="s">
        <v>620</v>
      </c>
      <c r="C166" s="1" t="s">
        <v>621</v>
      </c>
    </row>
    <row r="167" spans="1:3" x14ac:dyDescent="0.2">
      <c r="A167" s="1" t="s">
        <v>622</v>
      </c>
      <c r="B167" s="1" t="s">
        <v>623</v>
      </c>
      <c r="C167" s="1" t="s">
        <v>578</v>
      </c>
    </row>
    <row r="168" spans="1:3" x14ac:dyDescent="0.2">
      <c r="A168" s="1" t="s">
        <v>624</v>
      </c>
      <c r="B168" s="1" t="s">
        <v>625</v>
      </c>
      <c r="C168" s="1" t="s">
        <v>626</v>
      </c>
    </row>
    <row r="169" spans="1:3" x14ac:dyDescent="0.2">
      <c r="A169" s="1" t="s">
        <v>627</v>
      </c>
      <c r="B169" s="1" t="s">
        <v>628</v>
      </c>
      <c r="C169" s="1" t="s">
        <v>578</v>
      </c>
    </row>
    <row r="170" spans="1:3" x14ac:dyDescent="0.2">
      <c r="A170" s="1" t="s">
        <v>629</v>
      </c>
      <c r="B170" s="1" t="s">
        <v>630</v>
      </c>
      <c r="C170" s="1" t="s">
        <v>578</v>
      </c>
    </row>
    <row r="171" spans="1:3" x14ac:dyDescent="0.2">
      <c r="A171" s="1" t="s">
        <v>631</v>
      </c>
      <c r="B171" s="1" t="s">
        <v>632</v>
      </c>
      <c r="C171" s="1" t="s">
        <v>328</v>
      </c>
    </row>
    <row r="172" spans="1:3" x14ac:dyDescent="0.2">
      <c r="A172" s="1" t="s">
        <v>633</v>
      </c>
    </row>
    <row r="173" spans="1:3" x14ac:dyDescent="0.2">
      <c r="A173" s="1" t="s">
        <v>30</v>
      </c>
      <c r="B173" s="1" t="s">
        <v>31</v>
      </c>
      <c r="C173" s="1" t="s">
        <v>325</v>
      </c>
    </row>
    <row r="174" spans="1:3" x14ac:dyDescent="0.2">
      <c r="A174" s="1" t="s">
        <v>634</v>
      </c>
      <c r="B174" s="1" t="s">
        <v>635</v>
      </c>
      <c r="C174" s="1" t="s">
        <v>328</v>
      </c>
    </row>
    <row r="175" spans="1:3" x14ac:dyDescent="0.2">
      <c r="A175" s="1" t="s">
        <v>636</v>
      </c>
      <c r="B175" s="1" t="s">
        <v>637</v>
      </c>
      <c r="C175" s="1" t="s">
        <v>638</v>
      </c>
    </row>
    <row r="176" spans="1:3" x14ac:dyDescent="0.2">
      <c r="A176" s="1" t="s">
        <v>639</v>
      </c>
      <c r="B176" s="1" t="s">
        <v>640</v>
      </c>
      <c r="C176" s="1" t="s">
        <v>638</v>
      </c>
    </row>
    <row r="177" spans="1:3" x14ac:dyDescent="0.2">
      <c r="A177" s="1" t="s">
        <v>641</v>
      </c>
      <c r="B177" s="1" t="s">
        <v>642</v>
      </c>
      <c r="C177" s="1" t="s">
        <v>407</v>
      </c>
    </row>
    <row r="178" spans="1:3" x14ac:dyDescent="0.2">
      <c r="A178" s="1" t="s">
        <v>643</v>
      </c>
      <c r="B178" s="1" t="s">
        <v>644</v>
      </c>
      <c r="C178" s="1" t="s">
        <v>645</v>
      </c>
    </row>
    <row r="179" spans="1:3" x14ac:dyDescent="0.2">
      <c r="A179" s="1" t="s">
        <v>646</v>
      </c>
      <c r="B179" s="1" t="s">
        <v>647</v>
      </c>
      <c r="C179" s="1" t="s">
        <v>444</v>
      </c>
    </row>
    <row r="180" spans="1:3" x14ac:dyDescent="0.2">
      <c r="A180" s="1" t="s">
        <v>648</v>
      </c>
      <c r="B180" s="1" t="s">
        <v>649</v>
      </c>
      <c r="C180" s="1" t="s">
        <v>328</v>
      </c>
    </row>
    <row r="181" spans="1:3" x14ac:dyDescent="0.2">
      <c r="A181" s="1" t="s">
        <v>650</v>
      </c>
    </row>
    <row r="182" spans="1:3" x14ac:dyDescent="0.2">
      <c r="A182" s="1" t="s">
        <v>30</v>
      </c>
      <c r="B182" s="1" t="s">
        <v>31</v>
      </c>
      <c r="C182" s="1" t="s">
        <v>325</v>
      </c>
    </row>
    <row r="183" spans="1:3" x14ac:dyDescent="0.2">
      <c r="A183" s="1" t="s">
        <v>651</v>
      </c>
      <c r="B183" s="1" t="s">
        <v>652</v>
      </c>
      <c r="C183" s="1" t="s">
        <v>328</v>
      </c>
    </row>
    <row r="184" spans="1:3" x14ac:dyDescent="0.2">
      <c r="A184" s="1" t="s">
        <v>653</v>
      </c>
      <c r="B184" s="1" t="s">
        <v>654</v>
      </c>
      <c r="C184" s="1" t="s">
        <v>655</v>
      </c>
    </row>
    <row r="185" spans="1:3" x14ac:dyDescent="0.2">
      <c r="A185" s="1" t="s">
        <v>656</v>
      </c>
      <c r="B185" s="1" t="s">
        <v>657</v>
      </c>
      <c r="C185" s="1" t="s">
        <v>658</v>
      </c>
    </row>
    <row r="186" spans="1:3" x14ac:dyDescent="0.2">
      <c r="A186" s="1" t="s">
        <v>659</v>
      </c>
      <c r="B186" s="1" t="s">
        <v>660</v>
      </c>
      <c r="C186" s="1" t="s">
        <v>661</v>
      </c>
    </row>
    <row r="187" spans="1:3" x14ac:dyDescent="0.2">
      <c r="A187" s="1" t="s">
        <v>662</v>
      </c>
      <c r="B187" s="1" t="s">
        <v>663</v>
      </c>
      <c r="C187" s="1" t="s">
        <v>328</v>
      </c>
    </row>
    <row r="188" spans="1:3" x14ac:dyDescent="0.2">
      <c r="A188" s="1" t="s">
        <v>664</v>
      </c>
    </row>
    <row r="189" spans="1:3" x14ac:dyDescent="0.2">
      <c r="A189" s="1" t="s">
        <v>30</v>
      </c>
      <c r="B189" s="1" t="s">
        <v>31</v>
      </c>
      <c r="C189" s="1" t="s">
        <v>325</v>
      </c>
    </row>
    <row r="190" spans="1:3" x14ac:dyDescent="0.2">
      <c r="A190" s="1" t="s">
        <v>665</v>
      </c>
      <c r="B190" s="1" t="s">
        <v>666</v>
      </c>
      <c r="C190" s="1" t="s">
        <v>328</v>
      </c>
    </row>
    <row r="191" spans="1:3" x14ac:dyDescent="0.2">
      <c r="A191" s="1" t="s">
        <v>667</v>
      </c>
      <c r="B191" s="1" t="s">
        <v>668</v>
      </c>
      <c r="C191" s="1" t="s">
        <v>669</v>
      </c>
    </row>
    <row r="192" spans="1:3" x14ac:dyDescent="0.2">
      <c r="A192" s="1" t="s">
        <v>670</v>
      </c>
      <c r="B192" s="1" t="s">
        <v>671</v>
      </c>
      <c r="C192" s="1" t="s">
        <v>672</v>
      </c>
    </row>
    <row r="193" spans="1:3" x14ac:dyDescent="0.2">
      <c r="A193" s="1" t="s">
        <v>673</v>
      </c>
      <c r="B193" s="1" t="s">
        <v>674</v>
      </c>
      <c r="C193" s="1" t="s">
        <v>675</v>
      </c>
    </row>
    <row r="194" spans="1:3" x14ac:dyDescent="0.2">
      <c r="A194" s="1" t="s">
        <v>676</v>
      </c>
      <c r="B194" s="1" t="s">
        <v>677</v>
      </c>
      <c r="C194" s="1" t="s">
        <v>678</v>
      </c>
    </row>
    <row r="195" spans="1:3" x14ac:dyDescent="0.2">
      <c r="A195" s="1" t="s">
        <v>679</v>
      </c>
      <c r="B195" s="1" t="s">
        <v>680</v>
      </c>
      <c r="C195" s="1" t="s">
        <v>681</v>
      </c>
    </row>
    <row r="196" spans="1:3" x14ac:dyDescent="0.2">
      <c r="A196" s="1" t="s">
        <v>682</v>
      </c>
      <c r="B196" s="1" t="s">
        <v>683</v>
      </c>
      <c r="C196" s="1" t="s">
        <v>684</v>
      </c>
    </row>
    <row r="197" spans="1:3" x14ac:dyDescent="0.2">
      <c r="A197" s="1" t="s">
        <v>685</v>
      </c>
      <c r="B197" s="1" t="s">
        <v>686</v>
      </c>
      <c r="C197" s="1" t="s">
        <v>687</v>
      </c>
    </row>
    <row r="198" spans="1:3" x14ac:dyDescent="0.2">
      <c r="A198" s="1" t="s">
        <v>688</v>
      </c>
      <c r="B198" s="1" t="s">
        <v>689</v>
      </c>
      <c r="C198" s="1" t="s">
        <v>690</v>
      </c>
    </row>
    <row r="199" spans="1:3" x14ac:dyDescent="0.2">
      <c r="A199" s="1" t="s">
        <v>691</v>
      </c>
      <c r="B199" s="1" t="s">
        <v>692</v>
      </c>
      <c r="C199" s="1" t="s">
        <v>693</v>
      </c>
    </row>
    <row r="200" spans="1:3" x14ac:dyDescent="0.2">
      <c r="A200" s="1" t="s">
        <v>694</v>
      </c>
      <c r="B200" s="1" t="s">
        <v>695</v>
      </c>
      <c r="C200" s="1" t="s">
        <v>696</v>
      </c>
    </row>
    <row r="201" spans="1:3" x14ac:dyDescent="0.2">
      <c r="A201" s="1" t="s">
        <v>697</v>
      </c>
      <c r="B201" s="1" t="s">
        <v>698</v>
      </c>
      <c r="C201" s="1" t="s">
        <v>699</v>
      </c>
    </row>
    <row r="202" spans="1:3" x14ac:dyDescent="0.2">
      <c r="A202" s="1" t="s">
        <v>700</v>
      </c>
      <c r="B202" s="1" t="s">
        <v>701</v>
      </c>
      <c r="C202" s="1" t="s">
        <v>702</v>
      </c>
    </row>
    <row r="203" spans="1:3" x14ac:dyDescent="0.2">
      <c r="A203" s="1" t="s">
        <v>703</v>
      </c>
      <c r="B203" s="1" t="s">
        <v>704</v>
      </c>
      <c r="C203" s="1" t="s">
        <v>705</v>
      </c>
    </row>
    <row r="204" spans="1:3" x14ac:dyDescent="0.2">
      <c r="A204" s="1" t="s">
        <v>706</v>
      </c>
      <c r="B204" s="1" t="s">
        <v>707</v>
      </c>
      <c r="C204" s="1" t="s">
        <v>708</v>
      </c>
    </row>
    <row r="205" spans="1:3" x14ac:dyDescent="0.2">
      <c r="A205" s="1" t="s">
        <v>709</v>
      </c>
      <c r="B205" s="1" t="s">
        <v>710</v>
      </c>
    </row>
    <row r="206" spans="1:3" x14ac:dyDescent="0.2">
      <c r="A206" s="1" t="s">
        <v>711</v>
      </c>
      <c r="B206" s="1" t="s">
        <v>712</v>
      </c>
    </row>
    <row r="207" spans="1:3" x14ac:dyDescent="0.2">
      <c r="A207" s="1" t="s">
        <v>713</v>
      </c>
      <c r="B207" s="1" t="s">
        <v>714</v>
      </c>
    </row>
    <row r="208" spans="1:3" x14ac:dyDescent="0.2">
      <c r="A208" s="1" t="s">
        <v>715</v>
      </c>
      <c r="B208" s="1" t="s">
        <v>716</v>
      </c>
    </row>
    <row r="209" spans="1:3" x14ac:dyDescent="0.2">
      <c r="A209" s="1" t="s">
        <v>717</v>
      </c>
      <c r="B209" s="1" t="s">
        <v>718</v>
      </c>
    </row>
    <row r="210" spans="1:3" x14ac:dyDescent="0.2">
      <c r="A210" s="1" t="s">
        <v>719</v>
      </c>
      <c r="B210" s="1" t="s">
        <v>720</v>
      </c>
    </row>
    <row r="211" spans="1:3" x14ac:dyDescent="0.2">
      <c r="A211" s="1" t="s">
        <v>721</v>
      </c>
      <c r="B211" s="1" t="s">
        <v>722</v>
      </c>
      <c r="C211" s="1" t="s">
        <v>328</v>
      </c>
    </row>
    <row r="212" spans="1:3" x14ac:dyDescent="0.2">
      <c r="A212" s="1" t="s">
        <v>723</v>
      </c>
    </row>
    <row r="213" spans="1:3" x14ac:dyDescent="0.2">
      <c r="A213" s="1" t="s">
        <v>30</v>
      </c>
      <c r="B213" s="1" t="s">
        <v>31</v>
      </c>
      <c r="C213" s="1" t="s">
        <v>325</v>
      </c>
    </row>
    <row r="214" spans="1:3" x14ac:dyDescent="0.2">
      <c r="A214" s="1">
        <v>1001</v>
      </c>
      <c r="B214" s="1" t="s">
        <v>296</v>
      </c>
      <c r="C214" s="1" t="s">
        <v>328</v>
      </c>
    </row>
    <row r="215" spans="1:3" x14ac:dyDescent="0.2">
      <c r="A215" s="1">
        <v>1010</v>
      </c>
      <c r="B215" s="1" t="s">
        <v>724</v>
      </c>
      <c r="C215" s="1" t="s">
        <v>725</v>
      </c>
    </row>
    <row r="216" spans="1:3" x14ac:dyDescent="0.2">
      <c r="A216" s="1">
        <v>1100</v>
      </c>
      <c r="B216" s="1" t="s">
        <v>726</v>
      </c>
      <c r="C216" s="1" t="s">
        <v>727</v>
      </c>
    </row>
    <row r="217" spans="1:3" x14ac:dyDescent="0.2">
      <c r="A217" s="1">
        <v>1105</v>
      </c>
      <c r="B217" s="1" t="s">
        <v>728</v>
      </c>
      <c r="C217" s="1" t="s">
        <v>729</v>
      </c>
    </row>
    <row r="218" spans="1:3" x14ac:dyDescent="0.2">
      <c r="A218" s="1">
        <v>1110</v>
      </c>
      <c r="B218" s="1" t="s">
        <v>730</v>
      </c>
      <c r="C218" s="1" t="s">
        <v>731</v>
      </c>
    </row>
    <row r="219" spans="1:3" x14ac:dyDescent="0.2">
      <c r="A219" s="1">
        <v>1200</v>
      </c>
      <c r="B219" s="1" t="s">
        <v>732</v>
      </c>
      <c r="C219" s="1" t="s">
        <v>733</v>
      </c>
    </row>
    <row r="220" spans="1:3" x14ac:dyDescent="0.2">
      <c r="A220" s="1">
        <v>1210</v>
      </c>
      <c r="B220" s="1" t="s">
        <v>734</v>
      </c>
      <c r="C220" s="1" t="s">
        <v>733</v>
      </c>
    </row>
    <row r="221" spans="1:3" x14ac:dyDescent="0.2">
      <c r="A221" s="1">
        <v>1300</v>
      </c>
      <c r="B221" s="1" t="s">
        <v>735</v>
      </c>
      <c r="C221" s="1" t="s">
        <v>407</v>
      </c>
    </row>
    <row r="222" spans="1:3" x14ac:dyDescent="0.2">
      <c r="A222" s="1">
        <v>1310</v>
      </c>
      <c r="B222" s="1" t="s">
        <v>736</v>
      </c>
      <c r="C222" s="1" t="s">
        <v>407</v>
      </c>
    </row>
    <row r="223" spans="1:3" x14ac:dyDescent="0.2">
      <c r="A223" s="1">
        <v>1320</v>
      </c>
      <c r="B223" s="1" t="s">
        <v>737</v>
      </c>
      <c r="C223" s="1" t="s">
        <v>407</v>
      </c>
    </row>
    <row r="224" spans="1:3" x14ac:dyDescent="0.2">
      <c r="A224" s="1">
        <v>1350</v>
      </c>
      <c r="B224" s="1" t="s">
        <v>738</v>
      </c>
      <c r="C224" s="1" t="s">
        <v>407</v>
      </c>
    </row>
    <row r="225" spans="1:3" x14ac:dyDescent="0.2">
      <c r="A225" s="1">
        <v>1360</v>
      </c>
      <c r="B225" s="1" t="s">
        <v>739</v>
      </c>
      <c r="C225" s="1" t="s">
        <v>407</v>
      </c>
    </row>
    <row r="226" spans="1:3" x14ac:dyDescent="0.2">
      <c r="A226" s="1">
        <v>1370</v>
      </c>
      <c r="B226" s="1" t="s">
        <v>740</v>
      </c>
      <c r="C226" s="1" t="s">
        <v>407</v>
      </c>
    </row>
    <row r="227" spans="1:3" x14ac:dyDescent="0.2">
      <c r="A227" s="1">
        <v>1390</v>
      </c>
      <c r="B227" s="1" t="s">
        <v>741</v>
      </c>
      <c r="C227" s="1" t="s">
        <v>407</v>
      </c>
    </row>
    <row r="228" spans="1:3" x14ac:dyDescent="0.2">
      <c r="A228" s="1">
        <v>1391</v>
      </c>
      <c r="B228" s="1" t="s">
        <v>742</v>
      </c>
      <c r="C228" s="1" t="s">
        <v>407</v>
      </c>
    </row>
    <row r="229" spans="1:3" x14ac:dyDescent="0.2">
      <c r="A229" s="1">
        <v>1400</v>
      </c>
      <c r="B229" s="1" t="s">
        <v>743</v>
      </c>
      <c r="C229" s="1" t="s">
        <v>444</v>
      </c>
    </row>
    <row r="230" spans="1:3" x14ac:dyDescent="0.2">
      <c r="A230" s="1">
        <v>1500</v>
      </c>
      <c r="B230" s="1" t="s">
        <v>744</v>
      </c>
      <c r="C230" s="1" t="s">
        <v>404</v>
      </c>
    </row>
    <row r="231" spans="1:3" x14ac:dyDescent="0.2">
      <c r="A231" s="1">
        <v>1510</v>
      </c>
      <c r="B231" s="1" t="s">
        <v>745</v>
      </c>
      <c r="C231" s="1" t="s">
        <v>427</v>
      </c>
    </row>
    <row r="232" spans="1:3" x14ac:dyDescent="0.2">
      <c r="A232" s="1">
        <v>1600</v>
      </c>
      <c r="B232" s="1" t="s">
        <v>746</v>
      </c>
      <c r="C232" s="1" t="s">
        <v>747</v>
      </c>
    </row>
    <row r="233" spans="1:3" x14ac:dyDescent="0.2">
      <c r="A233" s="1">
        <v>1700</v>
      </c>
      <c r="B233" s="1" t="s">
        <v>748</v>
      </c>
      <c r="C233" s="1" t="s">
        <v>749</v>
      </c>
    </row>
    <row r="234" spans="1:3" x14ac:dyDescent="0.2">
      <c r="A234" s="1">
        <v>1710</v>
      </c>
      <c r="B234" s="1" t="s">
        <v>750</v>
      </c>
      <c r="C234" s="1" t="s">
        <v>749</v>
      </c>
    </row>
    <row r="235" spans="1:3" x14ac:dyDescent="0.2">
      <c r="A235" s="1">
        <v>1800</v>
      </c>
      <c r="B235" s="1" t="s">
        <v>751</v>
      </c>
      <c r="C235" s="1" t="s">
        <v>407</v>
      </c>
    </row>
    <row r="236" spans="1:3" x14ac:dyDescent="0.2">
      <c r="A236" s="1">
        <v>1900</v>
      </c>
      <c r="B236" s="1" t="s">
        <v>752</v>
      </c>
      <c r="C236" s="1" t="s">
        <v>578</v>
      </c>
    </row>
    <row r="237" spans="1:3" x14ac:dyDescent="0.2">
      <c r="A237" s="1">
        <v>1910</v>
      </c>
      <c r="B237" s="1" t="s">
        <v>753</v>
      </c>
      <c r="C237" s="1" t="s">
        <v>578</v>
      </c>
    </row>
    <row r="238" spans="1:3" x14ac:dyDescent="0.2">
      <c r="A238" s="1">
        <v>1920</v>
      </c>
      <c r="B238" s="1" t="s">
        <v>754</v>
      </c>
      <c r="C238" s="1" t="s">
        <v>578</v>
      </c>
    </row>
    <row r="239" spans="1:3" x14ac:dyDescent="0.2">
      <c r="A239" s="1">
        <v>1921</v>
      </c>
      <c r="B239" s="1" t="s">
        <v>755</v>
      </c>
      <c r="C239" s="1" t="s">
        <v>578</v>
      </c>
    </row>
    <row r="240" spans="1:3" x14ac:dyDescent="0.2">
      <c r="A240" s="1">
        <v>1922</v>
      </c>
      <c r="B240" s="1" t="s">
        <v>756</v>
      </c>
      <c r="C240" s="1" t="s">
        <v>353</v>
      </c>
    </row>
    <row r="241" spans="1:3" x14ac:dyDescent="0.2">
      <c r="A241" s="1">
        <v>1923</v>
      </c>
      <c r="B241" s="1" t="s">
        <v>757</v>
      </c>
      <c r="C241" s="1" t="s">
        <v>758</v>
      </c>
    </row>
    <row r="242" spans="1:3" x14ac:dyDescent="0.2">
      <c r="A242" s="1">
        <v>1925</v>
      </c>
      <c r="B242" s="1" t="s">
        <v>759</v>
      </c>
      <c r="C242" s="1" t="s">
        <v>589</v>
      </c>
    </row>
    <row r="243" spans="1:3" x14ac:dyDescent="0.2">
      <c r="A243" s="1">
        <v>1926</v>
      </c>
      <c r="B243" s="1" t="s">
        <v>760</v>
      </c>
      <c r="C243" s="1" t="s">
        <v>761</v>
      </c>
    </row>
    <row r="244" spans="1:3" x14ac:dyDescent="0.2">
      <c r="A244" s="1">
        <v>1960</v>
      </c>
      <c r="B244" s="1" t="s">
        <v>762</v>
      </c>
      <c r="C244" s="1" t="s">
        <v>763</v>
      </c>
    </row>
    <row r="245" spans="1:3" x14ac:dyDescent="0.2">
      <c r="A245" s="1">
        <v>1970</v>
      </c>
      <c r="B245" s="1" t="s">
        <v>764</v>
      </c>
      <c r="C245" s="1" t="s">
        <v>763</v>
      </c>
    </row>
    <row r="246" spans="1:3" x14ac:dyDescent="0.2">
      <c r="A246" s="1">
        <v>1975</v>
      </c>
      <c r="B246" s="1" t="s">
        <v>765</v>
      </c>
      <c r="C246" s="1" t="s">
        <v>763</v>
      </c>
    </row>
    <row r="247" spans="1:3" x14ac:dyDescent="0.2">
      <c r="A247" s="1">
        <v>1980</v>
      </c>
      <c r="B247" s="1" t="s">
        <v>766</v>
      </c>
      <c r="C247" s="1" t="s">
        <v>763</v>
      </c>
    </row>
    <row r="248" spans="1:3" x14ac:dyDescent="0.2">
      <c r="A248" s="1">
        <v>1990</v>
      </c>
      <c r="B248" s="1" t="s">
        <v>316</v>
      </c>
      <c r="C248" s="1" t="s">
        <v>328</v>
      </c>
    </row>
    <row r="249" spans="1:3" x14ac:dyDescent="0.2">
      <c r="A249" s="1" t="s">
        <v>767</v>
      </c>
    </row>
    <row r="250" spans="1:3" x14ac:dyDescent="0.2">
      <c r="A250" s="1" t="s">
        <v>768</v>
      </c>
      <c r="B250" s="1" t="s">
        <v>31</v>
      </c>
    </row>
    <row r="251" spans="1:3" x14ac:dyDescent="0.2">
      <c r="A251" s="1">
        <v>9001</v>
      </c>
      <c r="B251" s="1" t="s">
        <v>318</v>
      </c>
    </row>
    <row r="252" spans="1:3" x14ac:dyDescent="0.2">
      <c r="A252" s="1">
        <v>9900</v>
      </c>
      <c r="B252" s="1" t="s">
        <v>769</v>
      </c>
    </row>
    <row r="253" spans="1:3" x14ac:dyDescent="0.2">
      <c r="A253" s="1">
        <v>9990</v>
      </c>
      <c r="B253" s="1" t="s">
        <v>320</v>
      </c>
    </row>
    <row r="254" spans="1:3" x14ac:dyDescent="0.2">
      <c r="A254" s="1">
        <v>9999</v>
      </c>
      <c r="B254" s="1" t="s">
        <v>321</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theme="4" tint="-0.499984740745262"/>
  </sheetPr>
  <dimension ref="A1:J213"/>
  <sheetViews>
    <sheetView workbookViewId="0">
      <selection activeCell="B13" sqref="B13"/>
    </sheetView>
  </sheetViews>
  <sheetFormatPr defaultRowHeight="12.75" x14ac:dyDescent="0.2"/>
  <cols>
    <col min="1" max="1" width="40.5703125" style="1" customWidth="1"/>
    <col min="2" max="2" width="89.42578125" style="1" customWidth="1"/>
    <col min="3" max="10" width="9.140625" style="1"/>
  </cols>
  <sheetData>
    <row r="1" spans="1:2" x14ac:dyDescent="0.2">
      <c r="A1" s="1" t="s">
        <v>322</v>
      </c>
    </row>
    <row r="2" spans="1:2" x14ac:dyDescent="0.2">
      <c r="A2" s="1" t="s">
        <v>29</v>
      </c>
    </row>
    <row r="3" spans="1:2" x14ac:dyDescent="0.2">
      <c r="A3" s="1" t="s">
        <v>30</v>
      </c>
      <c r="B3" s="1" t="s">
        <v>31</v>
      </c>
    </row>
    <row r="4" spans="1:2" x14ac:dyDescent="0.2">
      <c r="A4" s="1">
        <v>0</v>
      </c>
      <c r="B4" s="1" t="s">
        <v>32</v>
      </c>
    </row>
    <row r="5" spans="1:2" x14ac:dyDescent="0.2">
      <c r="A5" s="1">
        <v>1</v>
      </c>
      <c r="B5" s="1" t="s">
        <v>33</v>
      </c>
    </row>
    <row r="6" spans="1:2" x14ac:dyDescent="0.2">
      <c r="A6" s="1">
        <v>100</v>
      </c>
      <c r="B6" s="1" t="s">
        <v>34</v>
      </c>
    </row>
    <row r="7" spans="1:2" x14ac:dyDescent="0.2">
      <c r="A7" s="1">
        <v>110</v>
      </c>
      <c r="B7" s="1" t="s">
        <v>35</v>
      </c>
    </row>
    <row r="8" spans="1:2" x14ac:dyDescent="0.2">
      <c r="A8" s="1">
        <v>111</v>
      </c>
      <c r="B8" s="1" t="s">
        <v>36</v>
      </c>
    </row>
    <row r="9" spans="1:2" x14ac:dyDescent="0.2">
      <c r="A9" s="1">
        <v>120</v>
      </c>
      <c r="B9" s="1" t="s">
        <v>37</v>
      </c>
    </row>
    <row r="10" spans="1:2" x14ac:dyDescent="0.2">
      <c r="A10" s="1">
        <v>140</v>
      </c>
      <c r="B10" s="1" t="s">
        <v>38</v>
      </c>
    </row>
    <row r="11" spans="1:2" x14ac:dyDescent="0.2">
      <c r="A11" s="1">
        <v>145</v>
      </c>
      <c r="B11" s="1" t="s">
        <v>39</v>
      </c>
    </row>
    <row r="12" spans="1:2" x14ac:dyDescent="0.2">
      <c r="A12" s="1">
        <v>150</v>
      </c>
      <c r="B12" s="1" t="s">
        <v>40</v>
      </c>
    </row>
    <row r="13" spans="1:2" x14ac:dyDescent="0.2">
      <c r="A13" s="1">
        <v>190</v>
      </c>
      <c r="B13" s="1" t="s">
        <v>41</v>
      </c>
    </row>
    <row r="14" spans="1:2" x14ac:dyDescent="0.2">
      <c r="A14" s="1">
        <v>200</v>
      </c>
      <c r="B14" s="1" t="s">
        <v>42</v>
      </c>
    </row>
    <row r="15" spans="1:2" x14ac:dyDescent="0.2">
      <c r="A15" s="1">
        <v>205</v>
      </c>
      <c r="B15" s="1" t="s">
        <v>43</v>
      </c>
    </row>
    <row r="16" spans="1:2" x14ac:dyDescent="0.2">
      <c r="A16" s="1">
        <v>206</v>
      </c>
      <c r="B16" s="1" t="s">
        <v>44</v>
      </c>
    </row>
    <row r="17" spans="1:2" x14ac:dyDescent="0.2">
      <c r="A17" s="1">
        <v>208</v>
      </c>
      <c r="B17" s="1" t="s">
        <v>45</v>
      </c>
    </row>
    <row r="18" spans="1:2" x14ac:dyDescent="0.2">
      <c r="A18" s="1">
        <v>400</v>
      </c>
      <c r="B18" s="1" t="s">
        <v>46</v>
      </c>
    </row>
    <row r="19" spans="1:2" x14ac:dyDescent="0.2">
      <c r="A19" s="1">
        <v>450</v>
      </c>
      <c r="B19" s="1" t="s">
        <v>47</v>
      </c>
    </row>
    <row r="20" spans="1:2" x14ac:dyDescent="0.2">
      <c r="A20" s="1">
        <v>500</v>
      </c>
      <c r="B20" s="1" t="s">
        <v>48</v>
      </c>
    </row>
    <row r="21" spans="1:2" x14ac:dyDescent="0.2">
      <c r="A21" s="1">
        <v>600</v>
      </c>
      <c r="B21" s="1" t="s">
        <v>49</v>
      </c>
    </row>
    <row r="22" spans="1:2" x14ac:dyDescent="0.2">
      <c r="A22" s="1">
        <v>990</v>
      </c>
      <c r="B22" s="1" t="s">
        <v>50</v>
      </c>
    </row>
    <row r="23" spans="1:2" x14ac:dyDescent="0.2">
      <c r="A23" s="1" t="s">
        <v>51</v>
      </c>
    </row>
    <row r="24" spans="1:2" x14ac:dyDescent="0.2">
      <c r="A24" s="1" t="s">
        <v>30</v>
      </c>
      <c r="B24" s="1" t="s">
        <v>31</v>
      </c>
    </row>
    <row r="25" spans="1:2" x14ac:dyDescent="0.2">
      <c r="A25" s="1" t="s">
        <v>0</v>
      </c>
      <c r="B25" s="1" t="s">
        <v>52</v>
      </c>
    </row>
    <row r="26" spans="1:2" x14ac:dyDescent="0.2">
      <c r="A26" s="1" t="s">
        <v>53</v>
      </c>
      <c r="B26" s="1" t="s">
        <v>54</v>
      </c>
    </row>
    <row r="27" spans="1:2" x14ac:dyDescent="0.2">
      <c r="A27" s="1" t="s">
        <v>55</v>
      </c>
      <c r="B27" s="1" t="s">
        <v>56</v>
      </c>
    </row>
    <row r="28" spans="1:2" x14ac:dyDescent="0.2">
      <c r="A28" s="1" t="s">
        <v>57</v>
      </c>
      <c r="B28" s="1" t="s">
        <v>58</v>
      </c>
    </row>
    <row r="29" spans="1:2" x14ac:dyDescent="0.2">
      <c r="A29" s="1" t="s">
        <v>59</v>
      </c>
      <c r="B29" s="1" t="s">
        <v>60</v>
      </c>
    </row>
    <row r="30" spans="1:2" x14ac:dyDescent="0.2">
      <c r="A30" s="1" t="s">
        <v>61</v>
      </c>
      <c r="B30" s="1" t="s">
        <v>62</v>
      </c>
    </row>
    <row r="31" spans="1:2" x14ac:dyDescent="0.2">
      <c r="A31" s="1" t="s">
        <v>63</v>
      </c>
      <c r="B31" s="1" t="s">
        <v>64</v>
      </c>
    </row>
    <row r="32" spans="1:2" x14ac:dyDescent="0.2">
      <c r="A32" s="1" t="s">
        <v>1</v>
      </c>
      <c r="B32" s="1" t="s">
        <v>65</v>
      </c>
    </row>
    <row r="33" spans="1:2" x14ac:dyDescent="0.2">
      <c r="A33" s="1" t="s">
        <v>66</v>
      </c>
    </row>
    <row r="34" spans="1:2" x14ac:dyDescent="0.2">
      <c r="A34" s="1" t="s">
        <v>30</v>
      </c>
      <c r="B34" s="1" t="s">
        <v>31</v>
      </c>
    </row>
    <row r="35" spans="1:2" x14ac:dyDescent="0.2">
      <c r="A35" s="1" t="s">
        <v>2</v>
      </c>
      <c r="B35" s="1" t="s">
        <v>67</v>
      </c>
    </row>
    <row r="36" spans="1:2" x14ac:dyDescent="0.2">
      <c r="A36" s="1" t="s">
        <v>3</v>
      </c>
      <c r="B36" s="1" t="s">
        <v>54</v>
      </c>
    </row>
    <row r="37" spans="1:2" x14ac:dyDescent="0.2">
      <c r="A37" s="1" t="s">
        <v>68</v>
      </c>
      <c r="B37" s="1" t="s">
        <v>69</v>
      </c>
    </row>
    <row r="38" spans="1:2" x14ac:dyDescent="0.2">
      <c r="A38" s="1" t="s">
        <v>70</v>
      </c>
      <c r="B38" s="1" t="s">
        <v>71</v>
      </c>
    </row>
    <row r="39" spans="1:2" x14ac:dyDescent="0.2">
      <c r="A39" s="1" t="s">
        <v>72</v>
      </c>
      <c r="B39" s="1" t="s">
        <v>60</v>
      </c>
    </row>
    <row r="40" spans="1:2" x14ac:dyDescent="0.2">
      <c r="A40" s="1" t="s">
        <v>73</v>
      </c>
      <c r="B40" s="1" t="s">
        <v>74</v>
      </c>
    </row>
    <row r="41" spans="1:2" x14ac:dyDescent="0.2">
      <c r="A41" s="1" t="s">
        <v>75</v>
      </c>
      <c r="B41" s="1" t="s">
        <v>76</v>
      </c>
    </row>
    <row r="42" spans="1:2" x14ac:dyDescent="0.2">
      <c r="A42" s="1" t="s">
        <v>77</v>
      </c>
      <c r="B42" s="1" t="s">
        <v>78</v>
      </c>
    </row>
    <row r="43" spans="1:2" x14ac:dyDescent="0.2">
      <c r="A43" s="1" t="s">
        <v>79</v>
      </c>
      <c r="B43" s="1" t="s">
        <v>80</v>
      </c>
    </row>
    <row r="44" spans="1:2" x14ac:dyDescent="0.2">
      <c r="A44" s="1" t="s">
        <v>81</v>
      </c>
      <c r="B44" s="1" t="s">
        <v>82</v>
      </c>
    </row>
    <row r="45" spans="1:2" x14ac:dyDescent="0.2">
      <c r="A45" s="1" t="s">
        <v>83</v>
      </c>
      <c r="B45" s="1" t="s">
        <v>84</v>
      </c>
    </row>
    <row r="46" spans="1:2" x14ac:dyDescent="0.2">
      <c r="A46" s="1" t="s">
        <v>85</v>
      </c>
      <c r="B46" s="1" t="s">
        <v>60</v>
      </c>
    </row>
    <row r="47" spans="1:2" x14ac:dyDescent="0.2">
      <c r="A47" s="1" t="s">
        <v>4</v>
      </c>
      <c r="B47" s="1" t="s">
        <v>86</v>
      </c>
    </row>
    <row r="48" spans="1:2" x14ac:dyDescent="0.2">
      <c r="A48" s="1" t="s">
        <v>5</v>
      </c>
      <c r="B48" s="1" t="s">
        <v>87</v>
      </c>
    </row>
    <row r="49" spans="1:2" x14ac:dyDescent="0.2">
      <c r="A49" s="1" t="s">
        <v>6</v>
      </c>
      <c r="B49" s="1" t="s">
        <v>88</v>
      </c>
    </row>
    <row r="50" spans="1:2" x14ac:dyDescent="0.2">
      <c r="A50" s="1" t="s">
        <v>89</v>
      </c>
      <c r="B50" s="1" t="s">
        <v>60</v>
      </c>
    </row>
    <row r="51" spans="1:2" x14ac:dyDescent="0.2">
      <c r="A51" s="1" t="s">
        <v>90</v>
      </c>
      <c r="B51" s="1" t="s">
        <v>91</v>
      </c>
    </row>
    <row r="52" spans="1:2" x14ac:dyDescent="0.2">
      <c r="A52" s="1" t="s">
        <v>92</v>
      </c>
      <c r="B52" s="1" t="s">
        <v>93</v>
      </c>
    </row>
    <row r="53" spans="1:2" x14ac:dyDescent="0.2">
      <c r="A53" s="1" t="s">
        <v>94</v>
      </c>
      <c r="B53" s="1" t="s">
        <v>95</v>
      </c>
    </row>
    <row r="54" spans="1:2" x14ac:dyDescent="0.2">
      <c r="A54" s="1" t="s">
        <v>96</v>
      </c>
      <c r="B54" s="1" t="s">
        <v>97</v>
      </c>
    </row>
    <row r="55" spans="1:2" x14ac:dyDescent="0.2">
      <c r="A55" s="1" t="s">
        <v>98</v>
      </c>
      <c r="B55" s="1" t="s">
        <v>99</v>
      </c>
    </row>
    <row r="56" spans="1:2" x14ac:dyDescent="0.2">
      <c r="A56" s="1" t="s">
        <v>100</v>
      </c>
      <c r="B56" s="1" t="s">
        <v>101</v>
      </c>
    </row>
    <row r="57" spans="1:2" x14ac:dyDescent="0.2">
      <c r="A57" s="1" t="s">
        <v>102</v>
      </c>
      <c r="B57" s="1" t="s">
        <v>103</v>
      </c>
    </row>
    <row r="58" spans="1:2" x14ac:dyDescent="0.2">
      <c r="A58" s="1" t="s">
        <v>104</v>
      </c>
      <c r="B58" s="1" t="s">
        <v>105</v>
      </c>
    </row>
    <row r="59" spans="1:2" x14ac:dyDescent="0.2">
      <c r="A59" s="1" t="s">
        <v>106</v>
      </c>
      <c r="B59" s="1" t="s">
        <v>107</v>
      </c>
    </row>
    <row r="60" spans="1:2" x14ac:dyDescent="0.2">
      <c r="A60" s="1" t="s">
        <v>108</v>
      </c>
      <c r="B60" s="1" t="s">
        <v>109</v>
      </c>
    </row>
    <row r="61" spans="1:2" x14ac:dyDescent="0.2">
      <c r="A61" s="1" t="s">
        <v>7</v>
      </c>
      <c r="B61" s="1" t="s">
        <v>110</v>
      </c>
    </row>
    <row r="62" spans="1:2" x14ac:dyDescent="0.2">
      <c r="A62" s="1" t="s">
        <v>8</v>
      </c>
      <c r="B62" s="1" t="s">
        <v>111</v>
      </c>
    </row>
    <row r="63" spans="1:2" x14ac:dyDescent="0.2">
      <c r="A63" s="1" t="s">
        <v>9</v>
      </c>
      <c r="B63" s="1" t="s">
        <v>112</v>
      </c>
    </row>
    <row r="64" spans="1:2" x14ac:dyDescent="0.2">
      <c r="A64" s="1" t="s">
        <v>113</v>
      </c>
      <c r="B64" s="1" t="s">
        <v>114</v>
      </c>
    </row>
    <row r="65" spans="1:2" x14ac:dyDescent="0.2">
      <c r="A65" s="1" t="s">
        <v>115</v>
      </c>
      <c r="B65" s="1" t="s">
        <v>116</v>
      </c>
    </row>
    <row r="66" spans="1:2" x14ac:dyDescent="0.2">
      <c r="A66" s="1" t="s">
        <v>117</v>
      </c>
      <c r="B66" s="1" t="s">
        <v>118</v>
      </c>
    </row>
    <row r="67" spans="1:2" x14ac:dyDescent="0.2">
      <c r="A67" s="1" t="s">
        <v>119</v>
      </c>
      <c r="B67" s="1" t="s">
        <v>120</v>
      </c>
    </row>
    <row r="68" spans="1:2" x14ac:dyDescent="0.2">
      <c r="A68" s="1" t="s">
        <v>121</v>
      </c>
      <c r="B68" s="1" t="s">
        <v>60</v>
      </c>
    </row>
    <row r="69" spans="1:2" x14ac:dyDescent="0.2">
      <c r="A69" s="1" t="s">
        <v>122</v>
      </c>
      <c r="B69" s="1" t="s">
        <v>123</v>
      </c>
    </row>
    <row r="70" spans="1:2" x14ac:dyDescent="0.2">
      <c r="A70" s="1" t="s">
        <v>124</v>
      </c>
      <c r="B70" s="1" t="s">
        <v>125</v>
      </c>
    </row>
    <row r="71" spans="1:2" x14ac:dyDescent="0.2">
      <c r="A71" s="1" t="s">
        <v>126</v>
      </c>
      <c r="B71" s="1" t="s">
        <v>127</v>
      </c>
    </row>
    <row r="72" spans="1:2" x14ac:dyDescent="0.2">
      <c r="A72" s="1" t="s">
        <v>128</v>
      </c>
      <c r="B72" s="1" t="s">
        <v>60</v>
      </c>
    </row>
    <row r="73" spans="1:2" x14ac:dyDescent="0.2">
      <c r="A73" s="1" t="s">
        <v>129</v>
      </c>
      <c r="B73" s="1" t="s">
        <v>130</v>
      </c>
    </row>
    <row r="74" spans="1:2" x14ac:dyDescent="0.2">
      <c r="A74" s="1" t="s">
        <v>131</v>
      </c>
      <c r="B74" s="1" t="s">
        <v>132</v>
      </c>
    </row>
    <row r="75" spans="1:2" x14ac:dyDescent="0.2">
      <c r="A75" s="1" t="s">
        <v>133</v>
      </c>
      <c r="B75" s="1" t="s">
        <v>134</v>
      </c>
    </row>
    <row r="76" spans="1:2" x14ac:dyDescent="0.2">
      <c r="A76" s="1" t="s">
        <v>135</v>
      </c>
      <c r="B76" s="1" t="s">
        <v>136</v>
      </c>
    </row>
    <row r="77" spans="1:2" x14ac:dyDescent="0.2">
      <c r="A77" s="1" t="s">
        <v>137</v>
      </c>
      <c r="B77" s="1" t="s">
        <v>138</v>
      </c>
    </row>
    <row r="78" spans="1:2" x14ac:dyDescent="0.2">
      <c r="A78" s="1" t="s">
        <v>139</v>
      </c>
      <c r="B78" s="1" t="s">
        <v>140</v>
      </c>
    </row>
    <row r="79" spans="1:2" x14ac:dyDescent="0.2">
      <c r="A79" s="1" t="s">
        <v>141</v>
      </c>
      <c r="B79" s="1" t="s">
        <v>142</v>
      </c>
    </row>
    <row r="80" spans="1:2" x14ac:dyDescent="0.2">
      <c r="A80" s="1" t="s">
        <v>143</v>
      </c>
      <c r="B80" s="1" t="s">
        <v>136</v>
      </c>
    </row>
    <row r="81" spans="1:2" x14ac:dyDescent="0.2">
      <c r="A81" s="1" t="s">
        <v>10</v>
      </c>
      <c r="B81" s="1" t="s">
        <v>144</v>
      </c>
    </row>
    <row r="82" spans="1:2" x14ac:dyDescent="0.2">
      <c r="A82" s="1" t="s">
        <v>145</v>
      </c>
    </row>
    <row r="83" spans="1:2" x14ac:dyDescent="0.2">
      <c r="A83" s="1" t="s">
        <v>30</v>
      </c>
      <c r="B83" s="1" t="s">
        <v>31</v>
      </c>
    </row>
    <row r="84" spans="1:2" x14ac:dyDescent="0.2">
      <c r="A84" s="1" t="s">
        <v>11</v>
      </c>
      <c r="B84" s="1" t="s">
        <v>146</v>
      </c>
    </row>
    <row r="85" spans="1:2" x14ac:dyDescent="0.2">
      <c r="A85" s="1" t="s">
        <v>147</v>
      </c>
      <c r="B85" s="1" t="s">
        <v>54</v>
      </c>
    </row>
    <row r="86" spans="1:2" x14ac:dyDescent="0.2">
      <c r="A86" s="1" t="s">
        <v>148</v>
      </c>
      <c r="B86" s="1" t="s">
        <v>149</v>
      </c>
    </row>
    <row r="87" spans="1:2" x14ac:dyDescent="0.2">
      <c r="A87" s="1" t="s">
        <v>150</v>
      </c>
      <c r="B87" s="1" t="s">
        <v>151</v>
      </c>
    </row>
    <row r="88" spans="1:2" x14ac:dyDescent="0.2">
      <c r="A88" s="1" t="s">
        <v>152</v>
      </c>
      <c r="B88" s="1" t="s">
        <v>153</v>
      </c>
    </row>
    <row r="89" spans="1:2" x14ac:dyDescent="0.2">
      <c r="A89" s="1" t="s">
        <v>154</v>
      </c>
      <c r="B89" s="1" t="s">
        <v>60</v>
      </c>
    </row>
    <row r="90" spans="1:2" x14ac:dyDescent="0.2">
      <c r="A90" s="1" t="s">
        <v>155</v>
      </c>
      <c r="B90" s="1" t="s">
        <v>156</v>
      </c>
    </row>
    <row r="91" spans="1:2" x14ac:dyDescent="0.2">
      <c r="A91" s="1" t="s">
        <v>157</v>
      </c>
      <c r="B91" s="1" t="s">
        <v>158</v>
      </c>
    </row>
    <row r="92" spans="1:2" x14ac:dyDescent="0.2">
      <c r="A92" s="1" t="s">
        <v>159</v>
      </c>
      <c r="B92" s="1" t="s">
        <v>160</v>
      </c>
    </row>
    <row r="93" spans="1:2" x14ac:dyDescent="0.2">
      <c r="A93" s="1" t="s">
        <v>161</v>
      </c>
      <c r="B93" s="1" t="s">
        <v>60</v>
      </c>
    </row>
    <row r="94" spans="1:2" x14ac:dyDescent="0.2">
      <c r="A94" s="1" t="s">
        <v>162</v>
      </c>
      <c r="B94" s="1" t="s">
        <v>163</v>
      </c>
    </row>
    <row r="95" spans="1:2" x14ac:dyDescent="0.2">
      <c r="A95" s="1" t="s">
        <v>164</v>
      </c>
      <c r="B95" s="1" t="s">
        <v>165</v>
      </c>
    </row>
    <row r="96" spans="1:2" x14ac:dyDescent="0.2">
      <c r="A96" s="1" t="s">
        <v>166</v>
      </c>
      <c r="B96" s="1" t="s">
        <v>60</v>
      </c>
    </row>
    <row r="97" spans="1:2" x14ac:dyDescent="0.2">
      <c r="A97" s="1" t="s">
        <v>167</v>
      </c>
      <c r="B97" s="1" t="s">
        <v>168</v>
      </c>
    </row>
    <row r="98" spans="1:2" x14ac:dyDescent="0.2">
      <c r="A98" s="1" t="s">
        <v>169</v>
      </c>
      <c r="B98" s="1" t="s">
        <v>170</v>
      </c>
    </row>
    <row r="99" spans="1:2" x14ac:dyDescent="0.2">
      <c r="A99" s="1" t="s">
        <v>171</v>
      </c>
      <c r="B99" s="1" t="s">
        <v>172</v>
      </c>
    </row>
    <row r="100" spans="1:2" x14ac:dyDescent="0.2">
      <c r="A100" s="1" t="s">
        <v>173</v>
      </c>
      <c r="B100" s="1" t="s">
        <v>60</v>
      </c>
    </row>
    <row r="101" spans="1:2" x14ac:dyDescent="0.2">
      <c r="A101" s="1" t="s">
        <v>174</v>
      </c>
      <c r="B101" s="1" t="s">
        <v>175</v>
      </c>
    </row>
    <row r="102" spans="1:2" x14ac:dyDescent="0.2">
      <c r="A102" s="1" t="s">
        <v>176</v>
      </c>
      <c r="B102" s="1" t="s">
        <v>177</v>
      </c>
    </row>
    <row r="103" spans="1:2" x14ac:dyDescent="0.2">
      <c r="A103" s="1" t="s">
        <v>178</v>
      </c>
      <c r="B103" s="1" t="s">
        <v>179</v>
      </c>
    </row>
    <row r="104" spans="1:2" x14ac:dyDescent="0.2">
      <c r="A104" s="1" t="s">
        <v>180</v>
      </c>
      <c r="B104" s="1" t="s">
        <v>60</v>
      </c>
    </row>
    <row r="105" spans="1:2" x14ac:dyDescent="0.2">
      <c r="A105" s="1" t="s">
        <v>12</v>
      </c>
      <c r="B105" s="1" t="s">
        <v>181</v>
      </c>
    </row>
    <row r="106" spans="1:2" x14ac:dyDescent="0.2">
      <c r="A106" s="1" t="s">
        <v>182</v>
      </c>
    </row>
    <row r="107" spans="1:2" x14ac:dyDescent="0.2">
      <c r="A107" s="1" t="s">
        <v>30</v>
      </c>
      <c r="B107" s="1" t="s">
        <v>31</v>
      </c>
    </row>
    <row r="108" spans="1:2" x14ac:dyDescent="0.2">
      <c r="A108" s="1" t="s">
        <v>13</v>
      </c>
      <c r="B108" s="1" t="s">
        <v>183</v>
      </c>
    </row>
    <row r="109" spans="1:2" x14ac:dyDescent="0.2">
      <c r="A109" s="1" t="s">
        <v>184</v>
      </c>
      <c r="B109" s="1" t="s">
        <v>54</v>
      </c>
    </row>
    <row r="110" spans="1:2" x14ac:dyDescent="0.2">
      <c r="A110" s="1" t="s">
        <v>185</v>
      </c>
      <c r="B110" s="1" t="s">
        <v>186</v>
      </c>
    </row>
    <row r="111" spans="1:2" x14ac:dyDescent="0.2">
      <c r="A111" s="1" t="s">
        <v>187</v>
      </c>
      <c r="B111" s="1" t="s">
        <v>60</v>
      </c>
    </row>
    <row r="112" spans="1:2" x14ac:dyDescent="0.2">
      <c r="A112" s="1" t="s">
        <v>188</v>
      </c>
      <c r="B112" s="1" t="s">
        <v>189</v>
      </c>
    </row>
    <row r="113" spans="1:2" x14ac:dyDescent="0.2">
      <c r="A113" s="1" t="s">
        <v>190</v>
      </c>
      <c r="B113" s="1" t="s">
        <v>60</v>
      </c>
    </row>
    <row r="114" spans="1:2" x14ac:dyDescent="0.2">
      <c r="A114" s="1" t="s">
        <v>191</v>
      </c>
      <c r="B114" s="1" t="s">
        <v>192</v>
      </c>
    </row>
    <row r="115" spans="1:2" x14ac:dyDescent="0.2">
      <c r="A115" s="1" t="s">
        <v>193</v>
      </c>
      <c r="B115" s="1" t="s">
        <v>60</v>
      </c>
    </row>
    <row r="116" spans="1:2" x14ac:dyDescent="0.2">
      <c r="A116" s="1" t="s">
        <v>194</v>
      </c>
      <c r="B116" s="1" t="s">
        <v>195</v>
      </c>
    </row>
    <row r="117" spans="1:2" x14ac:dyDescent="0.2">
      <c r="A117" s="1" t="s">
        <v>196</v>
      </c>
      <c r="B117" s="1" t="s">
        <v>197</v>
      </c>
    </row>
    <row r="118" spans="1:2" x14ac:dyDescent="0.2">
      <c r="A118" s="1" t="s">
        <v>198</v>
      </c>
      <c r="B118" s="1" t="s">
        <v>199</v>
      </c>
    </row>
    <row r="119" spans="1:2" x14ac:dyDescent="0.2">
      <c r="A119" s="1" t="s">
        <v>200</v>
      </c>
      <c r="B119" s="1" t="s">
        <v>201</v>
      </c>
    </row>
    <row r="120" spans="1:2" x14ac:dyDescent="0.2">
      <c r="A120" s="1" t="s">
        <v>202</v>
      </c>
      <c r="B120" s="1" t="s">
        <v>60</v>
      </c>
    </row>
    <row r="121" spans="1:2" x14ac:dyDescent="0.2">
      <c r="A121" s="1" t="s">
        <v>203</v>
      </c>
      <c r="B121" s="1" t="s">
        <v>204</v>
      </c>
    </row>
    <row r="122" spans="1:2" x14ac:dyDescent="0.2">
      <c r="A122" s="1" t="s">
        <v>205</v>
      </c>
      <c r="B122" s="1" t="s">
        <v>60</v>
      </c>
    </row>
    <row r="123" spans="1:2" x14ac:dyDescent="0.2">
      <c r="A123" s="1" t="s">
        <v>206</v>
      </c>
      <c r="B123" s="1" t="s">
        <v>207</v>
      </c>
    </row>
    <row r="124" spans="1:2" x14ac:dyDescent="0.2">
      <c r="A124" s="1" t="s">
        <v>208</v>
      </c>
      <c r="B124" s="1" t="s">
        <v>60</v>
      </c>
    </row>
    <row r="125" spans="1:2" x14ac:dyDescent="0.2">
      <c r="A125" s="1" t="s">
        <v>209</v>
      </c>
      <c r="B125" s="1" t="s">
        <v>210</v>
      </c>
    </row>
    <row r="126" spans="1:2" x14ac:dyDescent="0.2">
      <c r="A126" s="1" t="s">
        <v>211</v>
      </c>
      <c r="B126" s="1" t="s">
        <v>212</v>
      </c>
    </row>
    <row r="127" spans="1:2" x14ac:dyDescent="0.2">
      <c r="A127" s="1" t="s">
        <v>213</v>
      </c>
      <c r="B127" s="1" t="s">
        <v>60</v>
      </c>
    </row>
    <row r="128" spans="1:2" x14ac:dyDescent="0.2">
      <c r="A128" s="1" t="s">
        <v>214</v>
      </c>
      <c r="B128" s="1" t="s">
        <v>215</v>
      </c>
    </row>
    <row r="129" spans="1:2" x14ac:dyDescent="0.2">
      <c r="A129" s="1" t="s">
        <v>216</v>
      </c>
      <c r="B129" s="1" t="s">
        <v>60</v>
      </c>
    </row>
    <row r="130" spans="1:2" x14ac:dyDescent="0.2">
      <c r="A130" s="1" t="s">
        <v>217</v>
      </c>
      <c r="B130" s="1" t="s">
        <v>218</v>
      </c>
    </row>
    <row r="131" spans="1:2" x14ac:dyDescent="0.2">
      <c r="A131" s="1" t="s">
        <v>219</v>
      </c>
      <c r="B131" s="1" t="s">
        <v>220</v>
      </c>
    </row>
    <row r="132" spans="1:2" x14ac:dyDescent="0.2">
      <c r="A132" s="1" t="s">
        <v>221</v>
      </c>
      <c r="B132" s="1" t="s">
        <v>222</v>
      </c>
    </row>
    <row r="133" spans="1:2" x14ac:dyDescent="0.2">
      <c r="A133" s="1" t="s">
        <v>14</v>
      </c>
      <c r="B133" s="1" t="s">
        <v>223</v>
      </c>
    </row>
    <row r="134" spans="1:2" x14ac:dyDescent="0.2">
      <c r="A134" s="1" t="s">
        <v>224</v>
      </c>
    </row>
    <row r="135" spans="1:2" x14ac:dyDescent="0.2">
      <c r="A135" s="1" t="s">
        <v>30</v>
      </c>
      <c r="B135" s="1" t="s">
        <v>31</v>
      </c>
    </row>
    <row r="136" spans="1:2" x14ac:dyDescent="0.2">
      <c r="A136" s="1" t="s">
        <v>15</v>
      </c>
      <c r="B136" s="1" t="s">
        <v>225</v>
      </c>
    </row>
    <row r="137" spans="1:2" x14ac:dyDescent="0.2">
      <c r="A137" s="1" t="s">
        <v>226</v>
      </c>
      <c r="B137" s="1" t="s">
        <v>227</v>
      </c>
    </row>
    <row r="138" spans="1:2" x14ac:dyDescent="0.2">
      <c r="A138" s="1" t="s">
        <v>228</v>
      </c>
      <c r="B138" s="1" t="s">
        <v>229</v>
      </c>
    </row>
    <row r="139" spans="1:2" x14ac:dyDescent="0.2">
      <c r="A139" s="1" t="s">
        <v>230</v>
      </c>
      <c r="B139" s="1" t="s">
        <v>231</v>
      </c>
    </row>
    <row r="140" spans="1:2" x14ac:dyDescent="0.2">
      <c r="A140" s="1" t="s">
        <v>232</v>
      </c>
      <c r="B140" s="1" t="s">
        <v>60</v>
      </c>
    </row>
    <row r="141" spans="1:2" x14ac:dyDescent="0.2">
      <c r="A141" s="1" t="s">
        <v>233</v>
      </c>
      <c r="B141" s="1" t="s">
        <v>234</v>
      </c>
    </row>
    <row r="142" spans="1:2" x14ac:dyDescent="0.2">
      <c r="A142" s="1" t="s">
        <v>235</v>
      </c>
      <c r="B142" s="1" t="s">
        <v>60</v>
      </c>
    </row>
    <row r="143" spans="1:2" x14ac:dyDescent="0.2">
      <c r="A143" s="1" t="s">
        <v>16</v>
      </c>
      <c r="B143" s="1" t="s">
        <v>236</v>
      </c>
    </row>
    <row r="144" spans="1:2" x14ac:dyDescent="0.2">
      <c r="A144" s="1" t="s">
        <v>237</v>
      </c>
    </row>
    <row r="145" spans="1:2" x14ac:dyDescent="0.2">
      <c r="A145" s="1" t="s">
        <v>30</v>
      </c>
      <c r="B145" s="1" t="s">
        <v>31</v>
      </c>
    </row>
    <row r="146" spans="1:2" x14ac:dyDescent="0.2">
      <c r="A146" s="1" t="s">
        <v>17</v>
      </c>
      <c r="B146" s="1" t="s">
        <v>238</v>
      </c>
    </row>
    <row r="147" spans="1:2" x14ac:dyDescent="0.2">
      <c r="A147" s="1" t="s">
        <v>18</v>
      </c>
      <c r="B147" s="1" t="s">
        <v>239</v>
      </c>
    </row>
    <row r="148" spans="1:2" x14ac:dyDescent="0.2">
      <c r="A148" s="1" t="s">
        <v>19</v>
      </c>
      <c r="B148" s="1" t="s">
        <v>240</v>
      </c>
    </row>
    <row r="149" spans="1:2" x14ac:dyDescent="0.2">
      <c r="A149" s="1" t="s">
        <v>241</v>
      </c>
      <c r="B149" s="1" t="s">
        <v>242</v>
      </c>
    </row>
    <row r="150" spans="1:2" x14ac:dyDescent="0.2">
      <c r="A150" s="1" t="s">
        <v>20</v>
      </c>
      <c r="B150" s="1" t="s">
        <v>243</v>
      </c>
    </row>
    <row r="151" spans="1:2" x14ac:dyDescent="0.2">
      <c r="A151" s="1" t="s">
        <v>244</v>
      </c>
      <c r="B151" s="1" t="s">
        <v>245</v>
      </c>
    </row>
    <row r="152" spans="1:2" x14ac:dyDescent="0.2">
      <c r="A152" s="1" t="s">
        <v>246</v>
      </c>
      <c r="B152" s="1" t="s">
        <v>245</v>
      </c>
    </row>
    <row r="153" spans="1:2" x14ac:dyDescent="0.2">
      <c r="A153" s="1" t="s">
        <v>247</v>
      </c>
      <c r="B153" s="1" t="s">
        <v>248</v>
      </c>
    </row>
    <row r="154" spans="1:2" x14ac:dyDescent="0.2">
      <c r="A154" s="1" t="s">
        <v>249</v>
      </c>
      <c r="B154" s="1" t="s">
        <v>250</v>
      </c>
    </row>
    <row r="155" spans="1:2" x14ac:dyDescent="0.2">
      <c r="A155" s="1" t="s">
        <v>251</v>
      </c>
      <c r="B155" s="1" t="s">
        <v>252</v>
      </c>
    </row>
    <row r="156" spans="1:2" x14ac:dyDescent="0.2">
      <c r="A156" s="1" t="s">
        <v>253</v>
      </c>
      <c r="B156" s="1" t="s">
        <v>254</v>
      </c>
    </row>
    <row r="157" spans="1:2" x14ac:dyDescent="0.2">
      <c r="A157" s="1" t="s">
        <v>255</v>
      </c>
      <c r="B157" s="1" t="s">
        <v>256</v>
      </c>
    </row>
    <row r="158" spans="1:2" x14ac:dyDescent="0.2">
      <c r="A158" s="1" t="s">
        <v>257</v>
      </c>
      <c r="B158" s="1" t="s">
        <v>258</v>
      </c>
    </row>
    <row r="159" spans="1:2" x14ac:dyDescent="0.2">
      <c r="A159" s="1" t="s">
        <v>21</v>
      </c>
      <c r="B159" s="1" t="s">
        <v>259</v>
      </c>
    </row>
    <row r="160" spans="1:2" x14ac:dyDescent="0.2">
      <c r="A160" s="1" t="s">
        <v>260</v>
      </c>
      <c r="B160" s="1" t="s">
        <v>261</v>
      </c>
    </row>
    <row r="161" spans="1:2" x14ac:dyDescent="0.2">
      <c r="A161" s="1" t="s">
        <v>22</v>
      </c>
      <c r="B161" s="1" t="s">
        <v>262</v>
      </c>
    </row>
    <row r="162" spans="1:2" x14ac:dyDescent="0.2">
      <c r="A162" s="1" t="s">
        <v>23</v>
      </c>
      <c r="B162" s="1" t="s">
        <v>263</v>
      </c>
    </row>
    <row r="163" spans="1:2" x14ac:dyDescent="0.2">
      <c r="A163" s="1" t="s">
        <v>264</v>
      </c>
      <c r="B163" s="1" t="s">
        <v>265</v>
      </c>
    </row>
    <row r="164" spans="1:2" x14ac:dyDescent="0.2">
      <c r="A164" s="1" t="s">
        <v>24</v>
      </c>
      <c r="B164" s="1" t="s">
        <v>266</v>
      </c>
    </row>
    <row r="165" spans="1:2" x14ac:dyDescent="0.2">
      <c r="A165" s="1" t="s">
        <v>267</v>
      </c>
      <c r="B165" s="1" t="s">
        <v>268</v>
      </c>
    </row>
    <row r="166" spans="1:2" x14ac:dyDescent="0.2">
      <c r="A166" s="1" t="s">
        <v>269</v>
      </c>
      <c r="B166" s="1" t="s">
        <v>270</v>
      </c>
    </row>
    <row r="167" spans="1:2" x14ac:dyDescent="0.2">
      <c r="A167" s="1" t="s">
        <v>271</v>
      </c>
      <c r="B167" s="1" t="s">
        <v>272</v>
      </c>
    </row>
    <row r="168" spans="1:2" x14ac:dyDescent="0.2">
      <c r="A168" s="1" t="s">
        <v>273</v>
      </c>
      <c r="B168" s="1" t="s">
        <v>274</v>
      </c>
    </row>
    <row r="169" spans="1:2" x14ac:dyDescent="0.2">
      <c r="A169" s="1" t="s">
        <v>275</v>
      </c>
      <c r="B169" s="1" t="s">
        <v>254</v>
      </c>
    </row>
    <row r="170" spans="1:2" x14ac:dyDescent="0.2">
      <c r="A170" s="1" t="s">
        <v>276</v>
      </c>
      <c r="B170" s="1" t="s">
        <v>277</v>
      </c>
    </row>
    <row r="171" spans="1:2" x14ac:dyDescent="0.2">
      <c r="A171" s="1" t="s">
        <v>25</v>
      </c>
      <c r="B171" s="1" t="s">
        <v>278</v>
      </c>
    </row>
    <row r="172" spans="1:2" x14ac:dyDescent="0.2">
      <c r="A172" s="1" t="s">
        <v>279</v>
      </c>
      <c r="B172" s="1" t="s">
        <v>280</v>
      </c>
    </row>
    <row r="173" spans="1:2" x14ac:dyDescent="0.2">
      <c r="A173" s="1" t="s">
        <v>26</v>
      </c>
      <c r="B173" s="1" t="s">
        <v>281</v>
      </c>
    </row>
    <row r="174" spans="1:2" x14ac:dyDescent="0.2">
      <c r="A174" s="1" t="s">
        <v>282</v>
      </c>
    </row>
    <row r="175" spans="1:2" x14ac:dyDescent="0.2">
      <c r="A175" s="1" t="s">
        <v>30</v>
      </c>
      <c r="B175" s="1" t="s">
        <v>31</v>
      </c>
    </row>
    <row r="176" spans="1:2" x14ac:dyDescent="0.2">
      <c r="A176" s="1" t="s">
        <v>27</v>
      </c>
      <c r="B176" s="1" t="s">
        <v>283</v>
      </c>
    </row>
    <row r="177" spans="1:2" x14ac:dyDescent="0.2">
      <c r="A177" s="1" t="s">
        <v>284</v>
      </c>
      <c r="B177" s="1" t="s">
        <v>54</v>
      </c>
    </row>
    <row r="178" spans="1:2" x14ac:dyDescent="0.2">
      <c r="A178" s="1" t="s">
        <v>285</v>
      </c>
      <c r="B178" s="1" t="s">
        <v>286</v>
      </c>
    </row>
    <row r="179" spans="1:2" x14ac:dyDescent="0.2">
      <c r="A179" s="1" t="s">
        <v>287</v>
      </c>
      <c r="B179" s="1" t="s">
        <v>288</v>
      </c>
    </row>
    <row r="180" spans="1:2" x14ac:dyDescent="0.2">
      <c r="A180" s="1" t="s">
        <v>289</v>
      </c>
      <c r="B180" s="1" t="s">
        <v>60</v>
      </c>
    </row>
    <row r="181" spans="1:2" x14ac:dyDescent="0.2">
      <c r="A181" s="1" t="s">
        <v>290</v>
      </c>
      <c r="B181" s="1" t="s">
        <v>291</v>
      </c>
    </row>
    <row r="182" spans="1:2" x14ac:dyDescent="0.2">
      <c r="A182" s="1" t="s">
        <v>292</v>
      </c>
      <c r="B182" s="1" t="s">
        <v>293</v>
      </c>
    </row>
    <row r="183" spans="1:2" x14ac:dyDescent="0.2">
      <c r="A183" s="1" t="s">
        <v>28</v>
      </c>
      <c r="B183" s="1" t="s">
        <v>294</v>
      </c>
    </row>
    <row r="184" spans="1:2" x14ac:dyDescent="0.2">
      <c r="A184" s="1" t="s">
        <v>295</v>
      </c>
    </row>
    <row r="185" spans="1:2" x14ac:dyDescent="0.2">
      <c r="A185" s="1" t="s">
        <v>30</v>
      </c>
      <c r="B185" s="1" t="s">
        <v>31</v>
      </c>
    </row>
    <row r="186" spans="1:2" x14ac:dyDescent="0.2">
      <c r="A186" s="1">
        <v>1001</v>
      </c>
      <c r="B186" s="1" t="s">
        <v>296</v>
      </c>
    </row>
    <row r="187" spans="1:2" x14ac:dyDescent="0.2">
      <c r="A187" s="1">
        <v>1010</v>
      </c>
      <c r="B187" s="1" t="s">
        <v>297</v>
      </c>
    </row>
    <row r="188" spans="1:2" x14ac:dyDescent="0.2">
      <c r="A188" s="1">
        <v>1020</v>
      </c>
      <c r="B188" s="1" t="s">
        <v>298</v>
      </c>
    </row>
    <row r="189" spans="1:2" x14ac:dyDescent="0.2">
      <c r="A189" s="1">
        <v>1050</v>
      </c>
      <c r="B189" s="1" t="s">
        <v>299</v>
      </c>
    </row>
    <row r="190" spans="1:2" x14ac:dyDescent="0.2">
      <c r="A190" s="1">
        <v>1100</v>
      </c>
      <c r="B190" s="1" t="s">
        <v>300</v>
      </c>
    </row>
    <row r="191" spans="1:2" x14ac:dyDescent="0.2">
      <c r="A191" s="1">
        <v>1101</v>
      </c>
      <c r="B191" s="1" t="s">
        <v>301</v>
      </c>
    </row>
    <row r="192" spans="1:2" x14ac:dyDescent="0.2">
      <c r="A192" s="1">
        <v>1102</v>
      </c>
      <c r="B192" s="1" t="s">
        <v>302</v>
      </c>
    </row>
    <row r="193" spans="1:2" x14ac:dyDescent="0.2">
      <c r="A193" s="1">
        <v>1200</v>
      </c>
      <c r="B193" s="1" t="s">
        <v>303</v>
      </c>
    </row>
    <row r="194" spans="1:2" x14ac:dyDescent="0.2">
      <c r="A194" s="1">
        <v>1210</v>
      </c>
      <c r="B194" s="1" t="s">
        <v>304</v>
      </c>
    </row>
    <row r="195" spans="1:2" x14ac:dyDescent="0.2">
      <c r="A195" s="1">
        <v>1220</v>
      </c>
      <c r="B195" s="1" t="s">
        <v>305</v>
      </c>
    </row>
    <row r="196" spans="1:2" x14ac:dyDescent="0.2">
      <c r="A196" s="1">
        <v>1300</v>
      </c>
      <c r="B196" s="1" t="s">
        <v>306</v>
      </c>
    </row>
    <row r="197" spans="1:2" x14ac:dyDescent="0.2">
      <c r="A197" s="1">
        <v>1500</v>
      </c>
      <c r="B197" s="1" t="s">
        <v>307</v>
      </c>
    </row>
    <row r="198" spans="1:2" x14ac:dyDescent="0.2">
      <c r="A198" s="1">
        <v>1501</v>
      </c>
      <c r="B198" s="1" t="s">
        <v>308</v>
      </c>
    </row>
    <row r="199" spans="1:2" x14ac:dyDescent="0.2">
      <c r="A199" s="1">
        <v>1502</v>
      </c>
      <c r="B199" s="1" t="s">
        <v>309</v>
      </c>
    </row>
    <row r="200" spans="1:2" x14ac:dyDescent="0.2">
      <c r="A200" s="1">
        <v>1600</v>
      </c>
      <c r="B200" s="1" t="s">
        <v>310</v>
      </c>
    </row>
    <row r="201" spans="1:2" x14ac:dyDescent="0.2">
      <c r="A201" s="1">
        <v>1610</v>
      </c>
      <c r="B201" s="1" t="s">
        <v>311</v>
      </c>
    </row>
    <row r="202" spans="1:2" x14ac:dyDescent="0.2">
      <c r="A202" s="1">
        <v>1620</v>
      </c>
      <c r="B202" s="1" t="s">
        <v>312</v>
      </c>
    </row>
    <row r="203" spans="1:2" x14ac:dyDescent="0.2">
      <c r="A203" s="1">
        <v>1700</v>
      </c>
      <c r="B203" s="1" t="s">
        <v>313</v>
      </c>
    </row>
    <row r="204" spans="1:2" x14ac:dyDescent="0.2">
      <c r="A204" s="1">
        <v>1800</v>
      </c>
      <c r="B204" s="1" t="s">
        <v>314</v>
      </c>
    </row>
    <row r="205" spans="1:2" x14ac:dyDescent="0.2">
      <c r="A205" s="1">
        <v>1809</v>
      </c>
      <c r="B205" s="1" t="s">
        <v>60</v>
      </c>
    </row>
    <row r="206" spans="1:2" x14ac:dyDescent="0.2">
      <c r="A206" s="1">
        <v>1900</v>
      </c>
      <c r="B206" s="1" t="s">
        <v>315</v>
      </c>
    </row>
    <row r="207" spans="1:2" x14ac:dyDescent="0.2">
      <c r="A207" s="1">
        <v>1990</v>
      </c>
      <c r="B207" s="1" t="s">
        <v>316</v>
      </c>
    </row>
    <row r="208" spans="1:2" x14ac:dyDescent="0.2">
      <c r="A208" s="1" t="s">
        <v>317</v>
      </c>
    </row>
    <row r="209" spans="1:2" x14ac:dyDescent="0.2">
      <c r="A209" s="1" t="s">
        <v>30</v>
      </c>
      <c r="B209" s="1" t="s">
        <v>31</v>
      </c>
    </row>
    <row r="210" spans="1:2" x14ac:dyDescent="0.2">
      <c r="A210" s="1">
        <v>9001</v>
      </c>
      <c r="B210" s="1" t="s">
        <v>318</v>
      </c>
    </row>
    <row r="211" spans="1:2" x14ac:dyDescent="0.2">
      <c r="A211" s="1">
        <v>9900</v>
      </c>
      <c r="B211" s="1" t="s">
        <v>319</v>
      </c>
    </row>
    <row r="212" spans="1:2" x14ac:dyDescent="0.2">
      <c r="A212" s="1">
        <v>9990</v>
      </c>
      <c r="B212" s="1" t="s">
        <v>320</v>
      </c>
    </row>
    <row r="213" spans="1:2" x14ac:dyDescent="0.2">
      <c r="A213" s="1">
        <v>9999</v>
      </c>
      <c r="B213" s="1" t="s">
        <v>321</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rgb="FF92D050"/>
  </sheetPr>
  <dimension ref="A2:AM78"/>
  <sheetViews>
    <sheetView showGridLines="0" workbookViewId="0">
      <pane ySplit="2" topLeftCell="A3" activePane="bottomLeft" state="frozen"/>
      <selection activeCell="D29" sqref="D29"/>
      <selection pane="bottomLeft" activeCell="D29" sqref="D29"/>
    </sheetView>
  </sheetViews>
  <sheetFormatPr defaultRowHeight="11.25" x14ac:dyDescent="0.2"/>
  <cols>
    <col min="1" max="1" width="5.140625" style="21" customWidth="1"/>
    <col min="2" max="2" width="13.5703125" style="21" customWidth="1"/>
    <col min="3" max="3" width="7.42578125" style="21" bestFit="1" customWidth="1"/>
    <col min="4" max="4" width="10" style="21" bestFit="1" customWidth="1"/>
    <col min="5" max="5" width="9.85546875" style="21" bestFit="1" customWidth="1"/>
    <col min="6" max="6" width="11.7109375" style="21" bestFit="1" customWidth="1"/>
    <col min="7" max="8" width="12" style="21" bestFit="1" customWidth="1"/>
    <col min="9" max="9" width="11.5703125" style="21" bestFit="1" customWidth="1"/>
    <col min="10" max="10" width="12.42578125" style="21" bestFit="1" customWidth="1"/>
    <col min="11" max="11" width="9.85546875" style="21" bestFit="1" customWidth="1"/>
    <col min="12" max="12" width="8.85546875" style="21" bestFit="1" customWidth="1"/>
    <col min="13" max="13" width="11.28515625" style="21" bestFit="1" customWidth="1"/>
    <col min="14" max="14" width="12" style="21" bestFit="1" customWidth="1"/>
    <col min="15" max="15" width="10.5703125" style="21" bestFit="1" customWidth="1"/>
    <col min="16" max="16" width="12" style="21" bestFit="1" customWidth="1"/>
    <col min="17" max="17" width="11.5703125" style="21" bestFit="1" customWidth="1"/>
    <col min="18" max="18" width="12.85546875" style="21" bestFit="1" customWidth="1"/>
    <col min="19" max="19" width="12" style="21" bestFit="1" customWidth="1"/>
    <col min="20" max="20" width="10.140625" style="21" bestFit="1" customWidth="1"/>
    <col min="21" max="21" width="13.7109375" style="21" bestFit="1" customWidth="1"/>
    <col min="22" max="22" width="12.7109375" style="21" bestFit="1" customWidth="1"/>
    <col min="23" max="23" width="10.140625" style="21" bestFit="1" customWidth="1"/>
    <col min="24" max="24" width="9.140625" style="21" bestFit="1" customWidth="1"/>
    <col min="25" max="25" width="12.85546875" style="21" bestFit="1" customWidth="1"/>
    <col min="26" max="26" width="10" style="21" bestFit="1" customWidth="1"/>
    <col min="27" max="27" width="8.7109375" style="21" bestFit="1" customWidth="1"/>
    <col min="28" max="28" width="8.85546875" style="21" bestFit="1" customWidth="1"/>
    <col min="29" max="29" width="9.140625" style="21" bestFit="1" customWidth="1"/>
    <col min="30" max="30" width="12" style="21" bestFit="1" customWidth="1"/>
    <col min="31" max="31" width="13.5703125" style="21" bestFit="1" customWidth="1"/>
    <col min="32" max="32" width="7.42578125" style="21" bestFit="1" customWidth="1"/>
    <col min="33" max="33" width="10" style="21" bestFit="1" customWidth="1"/>
    <col min="34" max="34" width="12" style="21" bestFit="1" customWidth="1"/>
    <col min="35" max="35" width="10.5703125" style="21" bestFit="1" customWidth="1"/>
    <col min="36" max="36" width="15.28515625" style="21" bestFit="1" customWidth="1"/>
    <col min="37" max="37" width="16.7109375" style="21" bestFit="1" customWidth="1"/>
    <col min="38" max="38" width="9.140625" style="21" bestFit="1" customWidth="1"/>
    <col min="39" max="39" width="8" style="21" bestFit="1" customWidth="1"/>
    <col min="40" max="16384" width="9.140625" style="21"/>
  </cols>
  <sheetData>
    <row r="2" spans="1:39" x14ac:dyDescent="0.2">
      <c r="A2" s="32" t="s">
        <v>1144</v>
      </c>
      <c r="B2" s="33" t="s">
        <v>774</v>
      </c>
    </row>
    <row r="3" spans="1:39" x14ac:dyDescent="0.2">
      <c r="B3" s="44" t="s">
        <v>55</v>
      </c>
      <c r="C3" s="25">
        <v>1</v>
      </c>
      <c r="D3" s="25">
        <v>2</v>
      </c>
      <c r="E3" s="25">
        <v>3</v>
      </c>
      <c r="F3" s="25">
        <v>4</v>
      </c>
      <c r="G3" s="25">
        <v>5</v>
      </c>
      <c r="H3" s="25">
        <v>6</v>
      </c>
      <c r="I3" s="25">
        <v>7</v>
      </c>
      <c r="J3" s="25">
        <v>8</v>
      </c>
      <c r="K3" s="25">
        <v>9</v>
      </c>
      <c r="L3" s="25">
        <v>10</v>
      </c>
      <c r="M3" s="25">
        <v>11</v>
      </c>
      <c r="N3" s="25">
        <v>12</v>
      </c>
      <c r="O3" s="25">
        <v>13</v>
      </c>
      <c r="P3" s="25">
        <v>14</v>
      </c>
      <c r="Q3" s="30">
        <v>15</v>
      </c>
      <c r="R3" s="37">
        <v>16</v>
      </c>
      <c r="S3" s="30">
        <v>17</v>
      </c>
      <c r="T3" s="37">
        <v>18</v>
      </c>
      <c r="U3" s="25">
        <v>19</v>
      </c>
      <c r="V3" s="25">
        <v>20</v>
      </c>
      <c r="W3" s="30">
        <v>21</v>
      </c>
    </row>
    <row r="4" spans="1:39" x14ac:dyDescent="0.2">
      <c r="B4" s="45"/>
      <c r="C4" s="25" t="s">
        <v>781</v>
      </c>
      <c r="D4" s="25" t="s">
        <v>786</v>
      </c>
      <c r="E4" s="25" t="s">
        <v>835</v>
      </c>
      <c r="F4" s="25" t="s">
        <v>792</v>
      </c>
      <c r="G4" s="25" t="s">
        <v>842</v>
      </c>
      <c r="H4" s="25" t="s">
        <v>846</v>
      </c>
      <c r="I4" s="25" t="s">
        <v>848</v>
      </c>
      <c r="J4" s="25" t="s">
        <v>850</v>
      </c>
      <c r="K4" s="25" t="s">
        <v>852</v>
      </c>
      <c r="L4" s="25" t="s">
        <v>854</v>
      </c>
      <c r="M4" s="25" t="s">
        <v>856</v>
      </c>
      <c r="N4" s="25" t="s">
        <v>858</v>
      </c>
      <c r="O4" s="25" t="s">
        <v>860</v>
      </c>
      <c r="P4" s="25" t="s">
        <v>865</v>
      </c>
      <c r="Q4" s="30" t="s">
        <v>805</v>
      </c>
      <c r="R4" s="37" t="s">
        <v>809</v>
      </c>
      <c r="S4" s="30" t="s">
        <v>813</v>
      </c>
      <c r="T4" s="37" t="s">
        <v>817</v>
      </c>
      <c r="U4" s="25" t="s">
        <v>871</v>
      </c>
      <c r="V4" s="25" t="s">
        <v>873</v>
      </c>
      <c r="W4" s="30" t="s">
        <v>875</v>
      </c>
    </row>
    <row r="5" spans="1:39" x14ac:dyDescent="0.2">
      <c r="A5" s="21" t="s">
        <v>55</v>
      </c>
      <c r="B5" s="34" t="e">
        <f>CONCATE("|",C5:W5,2)</f>
        <v>#VALUE!</v>
      </c>
      <c r="C5" s="18" t="e">
        <f>sped(A5,1)</f>
        <v>#VALUE!</v>
      </c>
      <c r="D5" s="18" t="e">
        <f>sped(A5,2)</f>
        <v>#VALUE!</v>
      </c>
      <c r="E5" s="18" t="e">
        <f>sped(A5,3)</f>
        <v>#VALUE!</v>
      </c>
      <c r="F5" s="18" t="e">
        <f>sped(A5,4)</f>
        <v>#VALUE!</v>
      </c>
      <c r="G5" s="18" t="e">
        <f>sped(A5,5)</f>
        <v>#VALUE!</v>
      </c>
      <c r="H5" s="18" t="e">
        <f>sped(A5,6)</f>
        <v>#VALUE!</v>
      </c>
      <c r="I5" s="18" t="e">
        <f>sped(A5,7)</f>
        <v>#VALUE!</v>
      </c>
      <c r="J5" s="18" t="e">
        <f>sped(A5,8)</f>
        <v>#VALUE!</v>
      </c>
      <c r="K5" s="18" t="e">
        <f>sped(A5,9)</f>
        <v>#VALUE!</v>
      </c>
      <c r="L5" s="18" t="e">
        <f>sped(A5,10)</f>
        <v>#VALUE!</v>
      </c>
      <c r="M5" s="18" t="e">
        <f>sped(A5,11)</f>
        <v>#VALUE!</v>
      </c>
      <c r="N5" s="18" t="e">
        <f>sped(A5,12)</f>
        <v>#VALUE!</v>
      </c>
      <c r="O5" s="18" t="e">
        <f>sped(A5,13)</f>
        <v>#VALUE!</v>
      </c>
      <c r="P5" s="18" t="e">
        <f>sped(A5,14)</f>
        <v>#VALUE!</v>
      </c>
      <c r="Q5" s="18" t="e">
        <f>sped(A5,15)</f>
        <v>#VALUE!</v>
      </c>
      <c r="R5" s="18" t="e">
        <f>sped(A5,16)</f>
        <v>#VALUE!</v>
      </c>
      <c r="S5" s="18" t="e">
        <f>sped(A5,17)</f>
        <v>#VALUE!</v>
      </c>
      <c r="T5" s="18" t="e">
        <f>sped(A5,18)</f>
        <v>#VALUE!</v>
      </c>
      <c r="U5" s="18" t="e">
        <f>sped(A5,19)</f>
        <v>#VALUE!</v>
      </c>
      <c r="V5" s="18" t="e">
        <f>sped(A5,20)</f>
        <v>#VALUE!</v>
      </c>
      <c r="W5" s="18" t="e">
        <f>sped(A5,21)</f>
        <v>#VALUE!</v>
      </c>
    </row>
    <row r="6" spans="1:39" x14ac:dyDescent="0.2">
      <c r="B6" s="44" t="s">
        <v>63</v>
      </c>
      <c r="C6" s="25">
        <v>1</v>
      </c>
      <c r="D6" s="25">
        <v>2</v>
      </c>
      <c r="E6" s="25">
        <v>3</v>
      </c>
      <c r="F6" s="25">
        <v>4</v>
      </c>
      <c r="G6" s="25">
        <v>5</v>
      </c>
      <c r="H6" s="25">
        <v>6</v>
      </c>
      <c r="I6" s="25">
        <v>7</v>
      </c>
      <c r="J6" s="25">
        <v>8</v>
      </c>
      <c r="K6" s="25">
        <v>9</v>
      </c>
      <c r="L6" s="30">
        <v>10</v>
      </c>
      <c r="M6" s="25">
        <v>11</v>
      </c>
      <c r="N6" s="25">
        <v>12</v>
      </c>
      <c r="O6" s="25">
        <v>13</v>
      </c>
      <c r="P6" s="30">
        <v>14</v>
      </c>
      <c r="Q6" s="25">
        <v>15</v>
      </c>
      <c r="R6" s="25">
        <v>16</v>
      </c>
      <c r="S6" s="25">
        <v>17</v>
      </c>
      <c r="T6" s="25">
        <v>18</v>
      </c>
    </row>
    <row r="7" spans="1:39" x14ac:dyDescent="0.2">
      <c r="B7" s="45"/>
      <c r="C7" s="25" t="s">
        <v>781</v>
      </c>
      <c r="D7" s="25" t="s">
        <v>878</v>
      </c>
      <c r="E7" s="25" t="s">
        <v>795</v>
      </c>
      <c r="F7" s="25" t="s">
        <v>880</v>
      </c>
      <c r="G7" s="25" t="s">
        <v>886</v>
      </c>
      <c r="H7" s="25" t="s">
        <v>865</v>
      </c>
      <c r="I7" s="25" t="s">
        <v>819</v>
      </c>
      <c r="J7" s="25" t="s">
        <v>821</v>
      </c>
      <c r="K7" s="25" t="s">
        <v>802</v>
      </c>
      <c r="L7" s="30" t="s">
        <v>805</v>
      </c>
      <c r="M7" s="25" t="s">
        <v>807</v>
      </c>
      <c r="N7" s="25" t="s">
        <v>809</v>
      </c>
      <c r="O7" s="25" t="s">
        <v>811</v>
      </c>
      <c r="P7" s="30" t="s">
        <v>813</v>
      </c>
      <c r="Q7" s="25" t="s">
        <v>815</v>
      </c>
      <c r="R7" s="25" t="s">
        <v>817</v>
      </c>
      <c r="S7" s="25" t="s">
        <v>825</v>
      </c>
      <c r="T7" s="25" t="s">
        <v>827</v>
      </c>
    </row>
    <row r="8" spans="1:39" x14ac:dyDescent="0.2">
      <c r="A8" s="21" t="s">
        <v>63</v>
      </c>
      <c r="B8" s="34" t="e">
        <f>CONCATE("|",C8:T8,2)</f>
        <v>#VALUE!</v>
      </c>
      <c r="C8" s="18" t="e">
        <f>sped(A8,1)</f>
        <v>#VALUE!</v>
      </c>
      <c r="D8" s="18" t="e">
        <f>sped(A8,2)</f>
        <v>#VALUE!</v>
      </c>
      <c r="E8" s="18" t="e">
        <f>sped(A8,3)</f>
        <v>#VALUE!</v>
      </c>
      <c r="F8" s="18" t="e">
        <f>sped(A8,4)</f>
        <v>#VALUE!</v>
      </c>
      <c r="G8" s="18" t="e">
        <f>sped(A8,5)</f>
        <v>#VALUE!</v>
      </c>
      <c r="H8" s="18" t="e">
        <f>sped(A8,6)</f>
        <v>#VALUE!</v>
      </c>
      <c r="I8" s="18" t="e">
        <f>sped(A8,7)</f>
        <v>#VALUE!</v>
      </c>
      <c r="J8" s="18" t="e">
        <f>sped(A8,8)</f>
        <v>#VALUE!</v>
      </c>
      <c r="K8" s="18" t="e">
        <f>sped(A8,9)</f>
        <v>#VALUE!</v>
      </c>
      <c r="L8" s="18" t="e">
        <f>sped(A8,10)</f>
        <v>#VALUE!</v>
      </c>
      <c r="M8" s="18" t="e">
        <f>sped(A8,11)</f>
        <v>#VALUE!</v>
      </c>
      <c r="N8" s="18" t="e">
        <f>sped(A8,12)</f>
        <v>#VALUE!</v>
      </c>
      <c r="O8" s="18" t="e">
        <f>sped(A8,13)</f>
        <v>#VALUE!</v>
      </c>
      <c r="P8" s="18" t="e">
        <f>sped(A8,14)</f>
        <v>#VALUE!</v>
      </c>
      <c r="Q8" s="18" t="e">
        <f>sped(A8,15)</f>
        <v>#VALUE!</v>
      </c>
      <c r="R8" s="18" t="e">
        <f>sped(A8,16)</f>
        <v>#VALUE!</v>
      </c>
      <c r="S8" s="18" t="e">
        <f>sped(A8,17)</f>
        <v>#VALUE!</v>
      </c>
      <c r="T8" s="18" t="e">
        <f>sped(A8,18)</f>
        <v>#VALUE!</v>
      </c>
    </row>
    <row r="10" spans="1:39" x14ac:dyDescent="0.2">
      <c r="B10" s="44" t="s">
        <v>68</v>
      </c>
      <c r="C10" s="25">
        <v>1</v>
      </c>
      <c r="D10" s="25">
        <v>2</v>
      </c>
      <c r="E10" s="25">
        <v>3</v>
      </c>
      <c r="F10" s="25">
        <v>4</v>
      </c>
      <c r="G10" s="25">
        <v>5</v>
      </c>
      <c r="H10" s="25">
        <v>6</v>
      </c>
      <c r="I10" s="25">
        <v>7</v>
      </c>
      <c r="J10" s="25">
        <v>8</v>
      </c>
      <c r="K10" s="25">
        <v>9</v>
      </c>
      <c r="L10" s="25">
        <v>10</v>
      </c>
      <c r="M10" s="25">
        <v>11</v>
      </c>
      <c r="N10" s="25">
        <v>12</v>
      </c>
      <c r="O10" s="25">
        <v>13</v>
      </c>
      <c r="P10" s="25">
        <v>14</v>
      </c>
      <c r="Q10" s="25">
        <v>15</v>
      </c>
      <c r="R10" s="25">
        <v>16</v>
      </c>
      <c r="S10" s="25">
        <v>17</v>
      </c>
      <c r="T10" s="25">
        <v>18</v>
      </c>
      <c r="U10" s="25">
        <v>19</v>
      </c>
      <c r="V10" s="25">
        <v>20</v>
      </c>
      <c r="W10" s="25">
        <v>21</v>
      </c>
      <c r="X10" s="25">
        <v>22</v>
      </c>
      <c r="Y10" s="25">
        <v>23</v>
      </c>
      <c r="Z10" s="25">
        <v>24</v>
      </c>
      <c r="AA10" s="37">
        <v>25</v>
      </c>
      <c r="AB10" s="37">
        <v>26</v>
      </c>
      <c r="AC10" s="25">
        <v>27</v>
      </c>
      <c r="AD10" s="25">
        <v>28</v>
      </c>
      <c r="AE10" s="25">
        <v>29</v>
      </c>
    </row>
    <row r="11" spans="1:39" x14ac:dyDescent="0.2">
      <c r="B11" s="45"/>
      <c r="C11" s="25" t="s">
        <v>781</v>
      </c>
      <c r="D11" s="25" t="s">
        <v>786</v>
      </c>
      <c r="E11" s="25" t="s">
        <v>835</v>
      </c>
      <c r="F11" s="25" t="s">
        <v>792</v>
      </c>
      <c r="G11" s="25" t="s">
        <v>950</v>
      </c>
      <c r="H11" s="25" t="s">
        <v>842</v>
      </c>
      <c r="I11" s="25" t="s">
        <v>846</v>
      </c>
      <c r="J11" s="25" t="s">
        <v>850</v>
      </c>
      <c r="K11" s="25" t="s">
        <v>1024</v>
      </c>
      <c r="L11" s="25" t="s">
        <v>854</v>
      </c>
      <c r="M11" s="25" t="s">
        <v>1026</v>
      </c>
      <c r="N11" s="25" t="s">
        <v>858</v>
      </c>
      <c r="O11" s="25" t="s">
        <v>860</v>
      </c>
      <c r="P11" s="25" t="s">
        <v>865</v>
      </c>
      <c r="Q11" s="25" t="s">
        <v>1030</v>
      </c>
      <c r="R11" s="25" t="s">
        <v>1032</v>
      </c>
      <c r="S11" s="25" t="s">
        <v>1034</v>
      </c>
      <c r="T11" s="25" t="s">
        <v>1052</v>
      </c>
      <c r="U11" s="25" t="s">
        <v>1054</v>
      </c>
      <c r="V11" s="25" t="s">
        <v>1056</v>
      </c>
      <c r="W11" s="25" t="s">
        <v>900</v>
      </c>
      <c r="X11" s="25" t="s">
        <v>904</v>
      </c>
      <c r="Y11" s="25" t="s">
        <v>906</v>
      </c>
      <c r="Z11" s="25" t="s">
        <v>910</v>
      </c>
      <c r="AA11" s="37" t="s">
        <v>924</v>
      </c>
      <c r="AB11" s="37" t="s">
        <v>809</v>
      </c>
      <c r="AC11" s="25" t="s">
        <v>817</v>
      </c>
      <c r="AD11" s="25" t="s">
        <v>1061</v>
      </c>
      <c r="AE11" s="25" t="s">
        <v>1063</v>
      </c>
    </row>
    <row r="12" spans="1:39" ht="12.75" x14ac:dyDescent="0.2">
      <c r="A12" s="21" t="s">
        <v>68</v>
      </c>
      <c r="B12" s="34" t="e">
        <f>CONCATE("|",C12:AE12,2)</f>
        <v>#VALUE!</v>
      </c>
      <c r="C12" s="18" t="e">
        <f>sped(A12,1)</f>
        <v>#VALUE!</v>
      </c>
      <c r="D12" s="18" t="e">
        <f>sped(A12,2)</f>
        <v>#VALUE!</v>
      </c>
      <c r="E12" s="18" t="e">
        <f>sped(A12,3)</f>
        <v>#VALUE!</v>
      </c>
      <c r="F12" s="18" t="e">
        <f>sped(A12,4)</f>
        <v>#VALUE!</v>
      </c>
      <c r="G12" s="18" t="e">
        <f>sped(A12,5)</f>
        <v>#VALUE!</v>
      </c>
      <c r="H12" s="18" t="e">
        <f>sped(A12,6)</f>
        <v>#VALUE!</v>
      </c>
      <c r="I12" s="18" t="e">
        <f>sped(A12,7)</f>
        <v>#VALUE!</v>
      </c>
      <c r="J12" s="18" t="e">
        <f>sped(A12,8)</f>
        <v>#VALUE!</v>
      </c>
      <c r="K12" s="18" t="e">
        <f>sped(A12,9)</f>
        <v>#VALUE!</v>
      </c>
      <c r="L12" s="18" t="e">
        <f>sped(A12,10)</f>
        <v>#VALUE!</v>
      </c>
      <c r="M12" s="18" t="e">
        <f>sped(A12,11)</f>
        <v>#VALUE!</v>
      </c>
      <c r="N12" s="18" t="e">
        <f>sped(A12,12)</f>
        <v>#VALUE!</v>
      </c>
      <c r="O12" s="18" t="e">
        <f>sped(A12,13)</f>
        <v>#VALUE!</v>
      </c>
      <c r="P12" s="18" t="e">
        <f>sped(A12,14)</f>
        <v>#VALUE!</v>
      </c>
      <c r="Q12" s="18" t="e">
        <f>sped(A12,15)</f>
        <v>#VALUE!</v>
      </c>
      <c r="R12" s="18" t="e">
        <f>sped(A12,16)</f>
        <v>#VALUE!</v>
      </c>
      <c r="S12" s="18" t="e">
        <f>sped(A12,17)</f>
        <v>#VALUE!</v>
      </c>
      <c r="T12" s="18" t="e">
        <f>sped(A12,18)</f>
        <v>#VALUE!</v>
      </c>
      <c r="U12" s="18" t="e">
        <f>sped(A12,19)</f>
        <v>#VALUE!</v>
      </c>
      <c r="V12" s="18" t="e">
        <f>sped(A12,20)</f>
        <v>#VALUE!</v>
      </c>
      <c r="W12" s="18" t="e">
        <f>sped(A12,21)</f>
        <v>#VALUE!</v>
      </c>
      <c r="X12" s="31" t="e">
        <f>sped(A5,22)</f>
        <v>#VALUE!</v>
      </c>
      <c r="Y12" s="31" t="e">
        <f>sped(A5,23)</f>
        <v>#VALUE!</v>
      </c>
      <c r="Z12" s="31" t="e">
        <f>sped(A5,24)</f>
        <v>#VALUE!</v>
      </c>
      <c r="AA12" s="31" t="e">
        <f>sped(A5,25)</f>
        <v>#VALUE!</v>
      </c>
      <c r="AB12" s="31" t="e">
        <f>sped(A5,26)</f>
        <v>#VALUE!</v>
      </c>
      <c r="AC12" s="31" t="e">
        <f>sped(A5,27)</f>
        <v>#VALUE!</v>
      </c>
      <c r="AD12" s="31" t="e">
        <f>sped(A5,28)</f>
        <v>#VALUE!</v>
      </c>
      <c r="AE12" s="31" t="e">
        <f>sped(A5,29)</f>
        <v>#VALUE!</v>
      </c>
    </row>
    <row r="13" spans="1:39" x14ac:dyDescent="0.2">
      <c r="B13" s="44" t="s">
        <v>75</v>
      </c>
      <c r="C13" s="25">
        <v>1</v>
      </c>
      <c r="D13" s="25">
        <v>2</v>
      </c>
      <c r="E13" s="25">
        <v>3</v>
      </c>
      <c r="F13" s="25">
        <v>4</v>
      </c>
      <c r="G13" s="25">
        <v>5</v>
      </c>
      <c r="H13" s="25">
        <v>6</v>
      </c>
      <c r="I13" s="25">
        <v>7</v>
      </c>
      <c r="J13" s="25">
        <v>8</v>
      </c>
      <c r="K13" s="25">
        <v>9</v>
      </c>
      <c r="L13" s="25">
        <v>10</v>
      </c>
      <c r="M13" s="25">
        <v>11</v>
      </c>
      <c r="N13" s="25">
        <v>12</v>
      </c>
      <c r="O13" s="25">
        <v>13</v>
      </c>
      <c r="P13" s="25">
        <v>14</v>
      </c>
      <c r="Q13" s="25">
        <v>15</v>
      </c>
      <c r="R13" s="25">
        <v>16</v>
      </c>
      <c r="S13" s="25">
        <v>17</v>
      </c>
      <c r="T13" s="25">
        <v>18</v>
      </c>
      <c r="U13" s="25">
        <v>19</v>
      </c>
      <c r="V13" s="25">
        <v>20</v>
      </c>
      <c r="W13" s="25">
        <v>21</v>
      </c>
      <c r="X13" s="25">
        <v>22</v>
      </c>
      <c r="Y13" s="25">
        <v>23</v>
      </c>
      <c r="Z13" s="25">
        <v>24</v>
      </c>
      <c r="AA13" s="25">
        <v>25</v>
      </c>
      <c r="AB13" s="37">
        <v>26</v>
      </c>
      <c r="AC13" s="37">
        <v>27</v>
      </c>
      <c r="AD13" s="25">
        <v>28</v>
      </c>
      <c r="AE13" s="25">
        <v>29</v>
      </c>
      <c r="AF13" s="37">
        <v>30</v>
      </c>
      <c r="AG13" s="25">
        <v>31</v>
      </c>
      <c r="AH13" s="37">
        <v>32</v>
      </c>
      <c r="AI13" s="25">
        <v>33</v>
      </c>
      <c r="AJ13" s="25">
        <v>34</v>
      </c>
      <c r="AK13" s="25">
        <v>35</v>
      </c>
      <c r="AL13" s="25">
        <v>36</v>
      </c>
      <c r="AM13" s="37">
        <v>37</v>
      </c>
    </row>
    <row r="14" spans="1:39" x14ac:dyDescent="0.2">
      <c r="B14" s="45"/>
      <c r="C14" s="25" t="s">
        <v>781</v>
      </c>
      <c r="D14" s="25" t="s">
        <v>878</v>
      </c>
      <c r="E14" s="25" t="s">
        <v>795</v>
      </c>
      <c r="F14" s="25" t="s">
        <v>880</v>
      </c>
      <c r="G14" s="25" t="s">
        <v>882</v>
      </c>
      <c r="H14" s="25" t="s">
        <v>884</v>
      </c>
      <c r="I14" s="25" t="s">
        <v>886</v>
      </c>
      <c r="J14" s="25" t="s">
        <v>865</v>
      </c>
      <c r="K14" s="25" t="s">
        <v>889</v>
      </c>
      <c r="L14" s="25" t="s">
        <v>893</v>
      </c>
      <c r="M14" s="25" t="s">
        <v>896</v>
      </c>
      <c r="N14" s="25" t="s">
        <v>898</v>
      </c>
      <c r="O14" s="25" t="s">
        <v>900</v>
      </c>
      <c r="P14" s="25" t="s">
        <v>902</v>
      </c>
      <c r="Q14" s="25" t="s">
        <v>904</v>
      </c>
      <c r="R14" s="25" t="s">
        <v>906</v>
      </c>
      <c r="S14" s="25" t="s">
        <v>908</v>
      </c>
      <c r="T14" s="25" t="s">
        <v>910</v>
      </c>
      <c r="U14" s="25" t="s">
        <v>912</v>
      </c>
      <c r="V14" s="25" t="s">
        <v>916</v>
      </c>
      <c r="W14" s="25" t="s">
        <v>918</v>
      </c>
      <c r="X14" s="25" t="s">
        <v>920</v>
      </c>
      <c r="Y14" s="25" t="s">
        <v>922</v>
      </c>
      <c r="Z14" s="25" t="s">
        <v>924</v>
      </c>
      <c r="AA14" s="25" t="s">
        <v>802</v>
      </c>
      <c r="AB14" s="37" t="s">
        <v>805</v>
      </c>
      <c r="AC14" s="37" t="s">
        <v>807</v>
      </c>
      <c r="AD14" s="25" t="s">
        <v>928</v>
      </c>
      <c r="AE14" s="25" t="s">
        <v>930</v>
      </c>
      <c r="AF14" s="37" t="s">
        <v>809</v>
      </c>
      <c r="AG14" s="25" t="s">
        <v>811</v>
      </c>
      <c r="AH14" s="37" t="s">
        <v>813</v>
      </c>
      <c r="AI14" s="25" t="s">
        <v>815</v>
      </c>
      <c r="AJ14" s="25" t="s">
        <v>934</v>
      </c>
      <c r="AK14" s="25" t="s">
        <v>936</v>
      </c>
      <c r="AL14" s="25" t="s">
        <v>817</v>
      </c>
      <c r="AM14" s="37" t="s">
        <v>825</v>
      </c>
    </row>
    <row r="15" spans="1:39" ht="12.75" x14ac:dyDescent="0.2">
      <c r="A15" s="21" t="s">
        <v>75</v>
      </c>
      <c r="B15" s="34" t="e">
        <f>CONCATE("|",C15:AM15,2)</f>
        <v>#VALUE!</v>
      </c>
      <c r="C15" s="18" t="e">
        <f>sped(A15,1)</f>
        <v>#VALUE!</v>
      </c>
      <c r="D15" s="18" t="e">
        <f>sped(A15,2)</f>
        <v>#VALUE!</v>
      </c>
      <c r="E15" s="18" t="e">
        <f>sped(A15,3)</f>
        <v>#VALUE!</v>
      </c>
      <c r="F15" s="18" t="e">
        <f>sped(A15,4)</f>
        <v>#VALUE!</v>
      </c>
      <c r="G15" s="18" t="e">
        <f>sped(A15,5)</f>
        <v>#VALUE!</v>
      </c>
      <c r="H15" s="18" t="e">
        <f>sped(A15,6)</f>
        <v>#VALUE!</v>
      </c>
      <c r="I15" s="18" t="e">
        <f>sped(A15,7)</f>
        <v>#VALUE!</v>
      </c>
      <c r="J15" s="18" t="e">
        <f>sped(A15,8)</f>
        <v>#VALUE!</v>
      </c>
      <c r="K15" s="18" t="e">
        <f>sped(A15,9)</f>
        <v>#VALUE!</v>
      </c>
      <c r="L15" s="18" t="e">
        <f>sped(A15,10)</f>
        <v>#VALUE!</v>
      </c>
      <c r="M15" s="18" t="e">
        <f>sped(A15,11)</f>
        <v>#VALUE!</v>
      </c>
      <c r="N15" s="18" t="e">
        <f>sped(A15,12)</f>
        <v>#VALUE!</v>
      </c>
      <c r="O15" s="18" t="e">
        <f>sped(A15,13)</f>
        <v>#VALUE!</v>
      </c>
      <c r="P15" s="18" t="e">
        <f>sped(A15,14)</f>
        <v>#VALUE!</v>
      </c>
      <c r="Q15" s="18" t="e">
        <f>sped(A15,15)</f>
        <v>#VALUE!</v>
      </c>
      <c r="R15" s="18" t="e">
        <f>sped(A15,16)</f>
        <v>#VALUE!</v>
      </c>
      <c r="S15" s="18" t="e">
        <f>sped(A15,17)</f>
        <v>#VALUE!</v>
      </c>
      <c r="T15" s="18" t="e">
        <f>sped(A15,18)</f>
        <v>#VALUE!</v>
      </c>
      <c r="U15" s="18" t="e">
        <f>sped(A15,19)</f>
        <v>#VALUE!</v>
      </c>
      <c r="V15" s="18" t="e">
        <f>sped(A15,20)</f>
        <v>#VALUE!</v>
      </c>
      <c r="W15" s="18" t="e">
        <f>sped(A15,21)</f>
        <v>#VALUE!</v>
      </c>
      <c r="X15" s="31" t="e">
        <f>sped(A8,22)</f>
        <v>#VALUE!</v>
      </c>
      <c r="Y15" s="31" t="e">
        <f>sped(A8,23)</f>
        <v>#VALUE!</v>
      </c>
      <c r="Z15" s="31" t="e">
        <f>sped(A8,24)</f>
        <v>#VALUE!</v>
      </c>
      <c r="AA15" s="31" t="e">
        <f>sped(A8,25)</f>
        <v>#VALUE!</v>
      </c>
      <c r="AB15" s="31" t="e">
        <f>sped(A8,26)</f>
        <v>#VALUE!</v>
      </c>
      <c r="AC15" s="31" t="e">
        <f>sped(A8,27)</f>
        <v>#VALUE!</v>
      </c>
      <c r="AD15" s="31" t="e">
        <f>sped(A8,28)</f>
        <v>#VALUE!</v>
      </c>
      <c r="AE15" s="31" t="e">
        <f>sped(A8,29)</f>
        <v>#VALUE!</v>
      </c>
      <c r="AF15" s="18" t="e">
        <f>sped(A5,30)</f>
        <v>#VALUE!</v>
      </c>
      <c r="AG15" s="18" t="e">
        <f>sped(A5,31)</f>
        <v>#VALUE!</v>
      </c>
      <c r="AH15" s="18" t="e">
        <f>sped(A5,32)</f>
        <v>#VALUE!</v>
      </c>
      <c r="AI15" s="18" t="e">
        <f>sped(A5,33)</f>
        <v>#VALUE!</v>
      </c>
      <c r="AJ15" s="18" t="e">
        <f>sped(A5,34)</f>
        <v>#VALUE!</v>
      </c>
      <c r="AK15" s="18" t="e">
        <f>sped(A5,35)</f>
        <v>#VALUE!</v>
      </c>
      <c r="AL15" s="18" t="e">
        <f>sped(A5,36)</f>
        <v>#VALUE!</v>
      </c>
      <c r="AM15" s="18" t="e">
        <f>sped(A5,37)</f>
        <v>#VALUE!</v>
      </c>
    </row>
    <row r="17" spans="1:23" x14ac:dyDescent="0.2">
      <c r="B17" s="44" t="s">
        <v>174</v>
      </c>
      <c r="C17" s="25">
        <v>1</v>
      </c>
      <c r="D17" s="25">
        <v>2</v>
      </c>
      <c r="E17" s="25">
        <v>3</v>
      </c>
      <c r="F17" s="25">
        <v>4</v>
      </c>
      <c r="G17" s="25">
        <v>5</v>
      </c>
      <c r="H17" s="25">
        <v>6</v>
      </c>
      <c r="I17" s="25">
        <v>7</v>
      </c>
      <c r="J17" s="25">
        <v>8</v>
      </c>
      <c r="K17" s="25">
        <v>9</v>
      </c>
      <c r="L17" s="25">
        <v>10</v>
      </c>
      <c r="M17" s="25">
        <v>11</v>
      </c>
      <c r="N17" s="25">
        <v>12</v>
      </c>
      <c r="O17" s="25">
        <v>13</v>
      </c>
      <c r="P17" s="25">
        <v>14</v>
      </c>
      <c r="Q17" s="25">
        <v>15</v>
      </c>
      <c r="R17" s="25">
        <v>16</v>
      </c>
      <c r="S17" s="25">
        <v>17</v>
      </c>
      <c r="T17" s="25">
        <v>18</v>
      </c>
      <c r="U17" s="25">
        <v>19</v>
      </c>
    </row>
    <row r="18" spans="1:23" x14ac:dyDescent="0.2">
      <c r="B18" s="45"/>
      <c r="C18" s="25" t="s">
        <v>781</v>
      </c>
      <c r="D18" s="25" t="s">
        <v>950</v>
      </c>
      <c r="E18" s="25" t="s">
        <v>952</v>
      </c>
      <c r="F18" s="25" t="s">
        <v>846</v>
      </c>
      <c r="G18" s="25" t="s">
        <v>848</v>
      </c>
      <c r="H18" s="25" t="s">
        <v>955</v>
      </c>
      <c r="I18" s="25" t="s">
        <v>958</v>
      </c>
      <c r="J18" s="25" t="s">
        <v>960</v>
      </c>
      <c r="K18" s="25" t="s">
        <v>962</v>
      </c>
      <c r="L18" s="25" t="s">
        <v>858</v>
      </c>
      <c r="M18" s="25" t="s">
        <v>865</v>
      </c>
      <c r="N18" s="25" t="s">
        <v>966</v>
      </c>
      <c r="O18" s="25" t="s">
        <v>968</v>
      </c>
      <c r="P18" s="25" t="s">
        <v>970</v>
      </c>
      <c r="Q18" s="25" t="s">
        <v>972</v>
      </c>
      <c r="R18" s="25" t="s">
        <v>900</v>
      </c>
      <c r="S18" s="25" t="s">
        <v>904</v>
      </c>
      <c r="T18" s="25" t="s">
        <v>809</v>
      </c>
      <c r="U18" s="25" t="s">
        <v>817</v>
      </c>
    </row>
    <row r="19" spans="1:23" x14ac:dyDescent="0.2">
      <c r="A19" s="21" t="s">
        <v>174</v>
      </c>
      <c r="B19" s="34" t="e">
        <f>CONCATE("|",C19:U19,2)</f>
        <v>#VALUE!</v>
      </c>
      <c r="C19" s="18" t="e">
        <f>sped(A19,1)</f>
        <v>#VALUE!</v>
      </c>
      <c r="D19" s="18" t="e">
        <f>sped(A19,2)</f>
        <v>#VALUE!</v>
      </c>
      <c r="E19" s="18" t="e">
        <f>sped(A19,3)</f>
        <v>#VALUE!</v>
      </c>
      <c r="F19" s="18" t="e">
        <f>sped(A19,4)</f>
        <v>#VALUE!</v>
      </c>
      <c r="G19" s="18" t="e">
        <f>sped(A19,5)</f>
        <v>#VALUE!</v>
      </c>
      <c r="H19" s="18" t="e">
        <f>sped(A19,6)</f>
        <v>#VALUE!</v>
      </c>
      <c r="I19" s="18" t="e">
        <f>sped(A19,7)</f>
        <v>#VALUE!</v>
      </c>
      <c r="J19" s="18" t="e">
        <f>sped(A19,8)</f>
        <v>#VALUE!</v>
      </c>
      <c r="K19" s="18" t="e">
        <f>sped(A19,9)</f>
        <v>#VALUE!</v>
      </c>
      <c r="L19" s="18" t="e">
        <f>sped(A19,10)</f>
        <v>#VALUE!</v>
      </c>
      <c r="M19" s="18" t="e">
        <f>sped(A19,11)</f>
        <v>#VALUE!</v>
      </c>
      <c r="N19" s="18" t="e">
        <f>sped(A19,12)</f>
        <v>#VALUE!</v>
      </c>
      <c r="O19" s="18" t="e">
        <f>sped(A19,13)</f>
        <v>#VALUE!</v>
      </c>
      <c r="P19" s="18" t="e">
        <f>sped(A19,14)</f>
        <v>#VALUE!</v>
      </c>
      <c r="Q19" s="18" t="e">
        <f>sped(A19,15)</f>
        <v>#VALUE!</v>
      </c>
      <c r="R19" s="18" t="e">
        <f>sped(A19,16)</f>
        <v>#VALUE!</v>
      </c>
      <c r="S19" s="18" t="e">
        <f>sped(A19,17)</f>
        <v>#VALUE!</v>
      </c>
      <c r="T19" s="18" t="e">
        <f>sped(A19,18)</f>
        <v>#VALUE!</v>
      </c>
      <c r="U19" s="18" t="e">
        <f>sped(A19,19)</f>
        <v>#VALUE!</v>
      </c>
    </row>
    <row r="20" spans="1:23" x14ac:dyDescent="0.2">
      <c r="B20" s="44" t="s">
        <v>176</v>
      </c>
      <c r="C20" s="25">
        <v>1</v>
      </c>
      <c r="D20" s="25">
        <v>2</v>
      </c>
      <c r="E20" s="25">
        <v>3</v>
      </c>
      <c r="F20" s="25">
        <v>4</v>
      </c>
      <c r="G20" s="25">
        <v>5</v>
      </c>
      <c r="H20" s="25">
        <v>6</v>
      </c>
      <c r="I20" s="25">
        <v>7</v>
      </c>
      <c r="J20" s="25">
        <v>8</v>
      </c>
      <c r="K20" s="25">
        <v>9</v>
      </c>
    </row>
    <row r="21" spans="1:23" x14ac:dyDescent="0.2">
      <c r="B21" s="45"/>
      <c r="C21" s="25" t="s">
        <v>781</v>
      </c>
      <c r="D21" s="25" t="s">
        <v>1066</v>
      </c>
      <c r="E21" s="25" t="s">
        <v>886</v>
      </c>
      <c r="F21" s="25" t="s">
        <v>865</v>
      </c>
      <c r="G21" s="25" t="s">
        <v>802</v>
      </c>
      <c r="H21" s="25" t="s">
        <v>805</v>
      </c>
      <c r="I21" s="25" t="s">
        <v>807</v>
      </c>
      <c r="J21" s="25" t="s">
        <v>809</v>
      </c>
      <c r="K21" s="25" t="s">
        <v>825</v>
      </c>
    </row>
    <row r="22" spans="1:23" x14ac:dyDescent="0.2">
      <c r="A22" s="21" t="s">
        <v>176</v>
      </c>
      <c r="B22" s="34" t="e">
        <f>CONCATE("|",C22:U22,2)</f>
        <v>#VALUE!</v>
      </c>
      <c r="C22" s="18" t="e">
        <f>sped(A22,1)</f>
        <v>#VALUE!</v>
      </c>
      <c r="D22" s="18" t="e">
        <f>sped(A22,2)</f>
        <v>#VALUE!</v>
      </c>
      <c r="E22" s="18" t="e">
        <f>sped(A22,3)</f>
        <v>#VALUE!</v>
      </c>
      <c r="F22" s="18" t="e">
        <f>sped(A22,4)</f>
        <v>#VALUE!</v>
      </c>
      <c r="G22" s="18" t="e">
        <f>sped(A22,5)</f>
        <v>#VALUE!</v>
      </c>
      <c r="H22" s="18" t="e">
        <f>sped(A22,6)</f>
        <v>#VALUE!</v>
      </c>
      <c r="I22" s="18" t="e">
        <f>sped(A22,7)</f>
        <v>#VALUE!</v>
      </c>
      <c r="J22" s="18" t="e">
        <f>sped(A22,8)</f>
        <v>#VALUE!</v>
      </c>
      <c r="K22" s="18" t="e">
        <f>sped(A22,9)</f>
        <v>#VALUE!</v>
      </c>
    </row>
    <row r="23" spans="1:23" x14ac:dyDescent="0.2">
      <c r="B23" s="44" t="s">
        <v>178</v>
      </c>
      <c r="C23" s="25">
        <v>1</v>
      </c>
      <c r="D23" s="25">
        <v>2</v>
      </c>
      <c r="E23" s="25">
        <v>3</v>
      </c>
      <c r="F23" s="25">
        <v>4</v>
      </c>
      <c r="G23" s="25">
        <v>5</v>
      </c>
      <c r="H23" s="25">
        <v>6</v>
      </c>
      <c r="I23" s="25">
        <v>7</v>
      </c>
      <c r="J23" s="25">
        <v>8</v>
      </c>
      <c r="K23" s="25">
        <v>9</v>
      </c>
    </row>
    <row r="24" spans="1:23" x14ac:dyDescent="0.2">
      <c r="B24" s="45"/>
      <c r="C24" s="25" t="s">
        <v>781</v>
      </c>
      <c r="D24" s="25" t="s">
        <v>1066</v>
      </c>
      <c r="E24" s="25" t="s">
        <v>886</v>
      </c>
      <c r="F24" s="25" t="s">
        <v>865</v>
      </c>
      <c r="G24" s="25" t="s">
        <v>811</v>
      </c>
      <c r="H24" s="25" t="s">
        <v>813</v>
      </c>
      <c r="I24" s="25" t="s">
        <v>815</v>
      </c>
      <c r="J24" s="25" t="s">
        <v>817</v>
      </c>
      <c r="K24" s="25" t="s">
        <v>825</v>
      </c>
    </row>
    <row r="25" spans="1:23" x14ac:dyDescent="0.2">
      <c r="A25" s="21" t="s">
        <v>178</v>
      </c>
      <c r="B25" s="34" t="e">
        <f>CONCATE("|",C25:U25,2)</f>
        <v>#VALUE!</v>
      </c>
      <c r="C25" s="18" t="e">
        <f>sped(A25,1)</f>
        <v>#VALUE!</v>
      </c>
      <c r="D25" s="18" t="e">
        <f>sped(A25,2)</f>
        <v>#VALUE!</v>
      </c>
      <c r="E25" s="18" t="e">
        <f>sped(A25,3)</f>
        <v>#VALUE!</v>
      </c>
      <c r="F25" s="18" t="e">
        <f>sped(A25,4)</f>
        <v>#VALUE!</v>
      </c>
      <c r="G25" s="18" t="e">
        <f>sped(A25,5)</f>
        <v>#VALUE!</v>
      </c>
      <c r="H25" s="18" t="e">
        <f>sped(A25,6)</f>
        <v>#VALUE!</v>
      </c>
      <c r="I25" s="18" t="e">
        <f>sped(A25,7)</f>
        <v>#VALUE!</v>
      </c>
      <c r="J25" s="18" t="e">
        <f>sped(A25,8)</f>
        <v>#VALUE!</v>
      </c>
      <c r="K25" s="18" t="e">
        <f>sped(A25,9)</f>
        <v>#VALUE!</v>
      </c>
    </row>
    <row r="27" spans="1:23" x14ac:dyDescent="0.2">
      <c r="B27" s="44" t="s">
        <v>185</v>
      </c>
      <c r="C27" s="25">
        <v>1</v>
      </c>
      <c r="D27" s="25">
        <v>2</v>
      </c>
      <c r="E27" s="25">
        <v>3</v>
      </c>
      <c r="F27" s="25">
        <v>4</v>
      </c>
      <c r="G27" s="25">
        <v>5</v>
      </c>
      <c r="H27" s="25">
        <v>6</v>
      </c>
      <c r="I27" s="25">
        <v>7</v>
      </c>
      <c r="J27" s="25">
        <v>8</v>
      </c>
      <c r="K27" s="25">
        <v>9</v>
      </c>
      <c r="L27" s="25">
        <v>10</v>
      </c>
      <c r="M27" s="25">
        <v>11</v>
      </c>
      <c r="N27" s="26">
        <v>12</v>
      </c>
      <c r="O27" s="25">
        <v>13</v>
      </c>
      <c r="P27" s="26">
        <v>14</v>
      </c>
      <c r="Q27" s="25">
        <v>15</v>
      </c>
      <c r="R27" s="25">
        <v>16</v>
      </c>
      <c r="S27" s="25">
        <v>17</v>
      </c>
      <c r="T27" s="25">
        <v>18</v>
      </c>
      <c r="U27" s="25">
        <v>19</v>
      </c>
    </row>
    <row r="28" spans="1:23" x14ac:dyDescent="0.2">
      <c r="B28" s="45"/>
      <c r="C28" s="25" t="s">
        <v>781</v>
      </c>
      <c r="D28" s="25" t="s">
        <v>786</v>
      </c>
      <c r="E28" s="25" t="s">
        <v>792</v>
      </c>
      <c r="F28" s="25" t="s">
        <v>795</v>
      </c>
      <c r="G28" s="25" t="s">
        <v>797</v>
      </c>
      <c r="H28" s="25" t="s">
        <v>800</v>
      </c>
      <c r="I28" s="25" t="s">
        <v>802</v>
      </c>
      <c r="J28" s="25" t="s">
        <v>805</v>
      </c>
      <c r="K28" s="25" t="s">
        <v>807</v>
      </c>
      <c r="L28" s="25" t="s">
        <v>809</v>
      </c>
      <c r="M28" s="25" t="s">
        <v>811</v>
      </c>
      <c r="N28" s="26" t="s">
        <v>813</v>
      </c>
      <c r="O28" s="25" t="s">
        <v>815</v>
      </c>
      <c r="P28" s="26" t="s">
        <v>817</v>
      </c>
      <c r="Q28" s="25" t="s">
        <v>819</v>
      </c>
      <c r="R28" s="25" t="s">
        <v>821</v>
      </c>
      <c r="S28" s="25" t="s">
        <v>825</v>
      </c>
      <c r="T28" s="25" t="s">
        <v>827</v>
      </c>
      <c r="U28" s="25" t="s">
        <v>829</v>
      </c>
    </row>
    <row r="29" spans="1:23" x14ac:dyDescent="0.2">
      <c r="A29" s="21" t="s">
        <v>185</v>
      </c>
      <c r="B29" s="34" t="e">
        <f>CONCATE("|",C29:U29,2)</f>
        <v>#VALUE!</v>
      </c>
      <c r="C29" s="18" t="e">
        <f>sped(A29,1)</f>
        <v>#VALUE!</v>
      </c>
      <c r="D29" s="18" t="e">
        <f>sped(A29,2)</f>
        <v>#VALUE!</v>
      </c>
      <c r="E29" s="18" t="e">
        <f>sped(A29,3)</f>
        <v>#VALUE!</v>
      </c>
      <c r="F29" s="18" t="e">
        <f>sped(A29,4)</f>
        <v>#VALUE!</v>
      </c>
      <c r="G29" s="18" t="e">
        <f>sped(A29,5)</f>
        <v>#VALUE!</v>
      </c>
      <c r="H29" s="18" t="e">
        <f>sped(A29,6)</f>
        <v>#VALUE!</v>
      </c>
      <c r="I29" s="18" t="e">
        <f>sped(A29,7)</f>
        <v>#VALUE!</v>
      </c>
      <c r="J29" s="18" t="e">
        <f>sped(A29,8)</f>
        <v>#VALUE!</v>
      </c>
      <c r="K29" s="18" t="e">
        <f>sped(A29,9)</f>
        <v>#VALUE!</v>
      </c>
      <c r="L29" s="18" t="e">
        <f>sped(A29,10)</f>
        <v>#VALUE!</v>
      </c>
      <c r="M29" s="18" t="e">
        <f>sped(A29,11)</f>
        <v>#VALUE!</v>
      </c>
      <c r="N29" s="18" t="e">
        <f>sped(A29,12)</f>
        <v>#VALUE!</v>
      </c>
      <c r="O29" s="18" t="e">
        <f>sped(A29,13)</f>
        <v>#VALUE!</v>
      </c>
      <c r="P29" s="18" t="e">
        <f>sped(A29,14)</f>
        <v>#VALUE!</v>
      </c>
      <c r="Q29" s="18" t="e">
        <f>sped(A29,15)</f>
        <v>#VALUE!</v>
      </c>
      <c r="R29" s="18" t="e">
        <f>sped(A29,16)</f>
        <v>#VALUE!</v>
      </c>
      <c r="S29" s="18" t="e">
        <f>sped(A29,17)</f>
        <v>#VALUE!</v>
      </c>
      <c r="T29" s="18" t="e">
        <f>sped(A29,18)</f>
        <v>#VALUE!</v>
      </c>
      <c r="U29" s="18" t="e">
        <f>sped(A29,19)</f>
        <v>#VALUE!</v>
      </c>
    </row>
    <row r="31" spans="1:23" x14ac:dyDescent="0.2">
      <c r="B31" s="35" t="s">
        <v>773</v>
      </c>
    </row>
    <row r="32" spans="1:23" x14ac:dyDescent="0.2">
      <c r="B32" s="46" t="s">
        <v>55</v>
      </c>
      <c r="C32" s="23">
        <v>1</v>
      </c>
      <c r="D32" s="23">
        <v>2</v>
      </c>
      <c r="E32" s="23">
        <v>3</v>
      </c>
      <c r="F32" s="23">
        <v>4</v>
      </c>
      <c r="G32" s="23">
        <v>5</v>
      </c>
      <c r="H32" s="23">
        <v>6</v>
      </c>
      <c r="I32" s="23">
        <v>7</v>
      </c>
      <c r="J32" s="23">
        <v>8</v>
      </c>
      <c r="K32" s="23">
        <v>9</v>
      </c>
      <c r="L32" s="23">
        <v>10</v>
      </c>
      <c r="M32" s="23">
        <v>11</v>
      </c>
      <c r="N32" s="23">
        <v>12</v>
      </c>
      <c r="O32" s="23">
        <v>13</v>
      </c>
      <c r="P32" s="23">
        <v>14</v>
      </c>
      <c r="Q32" s="23">
        <v>15</v>
      </c>
      <c r="R32" s="23">
        <v>16</v>
      </c>
      <c r="S32" s="23">
        <v>17</v>
      </c>
      <c r="T32" s="23">
        <v>18</v>
      </c>
      <c r="U32" s="23">
        <v>19</v>
      </c>
      <c r="V32" s="23">
        <v>20</v>
      </c>
      <c r="W32" s="23">
        <v>21</v>
      </c>
    </row>
    <row r="33" spans="1:39" x14ac:dyDescent="0.2">
      <c r="B33" s="47"/>
      <c r="C33" s="23" t="s">
        <v>781</v>
      </c>
      <c r="D33" s="23" t="s">
        <v>786</v>
      </c>
      <c r="E33" s="23" t="s">
        <v>835</v>
      </c>
      <c r="F33" s="23" t="s">
        <v>792</v>
      </c>
      <c r="G33" s="23" t="s">
        <v>842</v>
      </c>
      <c r="H33" s="23" t="s">
        <v>846</v>
      </c>
      <c r="I33" s="23" t="s">
        <v>848</v>
      </c>
      <c r="J33" s="23" t="s">
        <v>850</v>
      </c>
      <c r="K33" s="23" t="s">
        <v>852</v>
      </c>
      <c r="L33" s="23" t="s">
        <v>854</v>
      </c>
      <c r="M33" s="23" t="s">
        <v>856</v>
      </c>
      <c r="N33" s="23" t="s">
        <v>858</v>
      </c>
      <c r="O33" s="23" t="s">
        <v>860</v>
      </c>
      <c r="P33" s="23" t="s">
        <v>865</v>
      </c>
      <c r="Q33" s="23" t="s">
        <v>805</v>
      </c>
      <c r="R33" s="23" t="s">
        <v>809</v>
      </c>
      <c r="S33" s="23" t="s">
        <v>813</v>
      </c>
      <c r="T33" s="23" t="s">
        <v>817</v>
      </c>
      <c r="U33" s="23" t="s">
        <v>871</v>
      </c>
      <c r="V33" s="23" t="s">
        <v>873</v>
      </c>
      <c r="W33" s="23" t="s">
        <v>875</v>
      </c>
    </row>
    <row r="34" spans="1:39" x14ac:dyDescent="0.2">
      <c r="A34" s="21" t="s">
        <v>55</v>
      </c>
      <c r="B34" s="34" t="e">
        <f>CONCATE("|",C34:W34,2)</f>
        <v>#VALUE!</v>
      </c>
      <c r="C34" s="18" t="e">
        <f>sped(A34,1)</f>
        <v>#VALUE!</v>
      </c>
      <c r="D34" s="18" t="e">
        <f>sped(A34,2)</f>
        <v>#VALUE!</v>
      </c>
      <c r="E34" s="18" t="e">
        <f>sped(A34,3)</f>
        <v>#VALUE!</v>
      </c>
      <c r="F34" s="18" t="e">
        <f>sped(A34,4)</f>
        <v>#VALUE!</v>
      </c>
      <c r="G34" s="18" t="e">
        <f>sped(A34,5)</f>
        <v>#VALUE!</v>
      </c>
      <c r="H34" s="18" t="e">
        <f>sped(A34,6)</f>
        <v>#VALUE!</v>
      </c>
      <c r="I34" s="18" t="e">
        <f>sped(A34,7)</f>
        <v>#VALUE!</v>
      </c>
      <c r="J34" s="18" t="e">
        <f>sped(A34,8)</f>
        <v>#VALUE!</v>
      </c>
      <c r="K34" s="18" t="e">
        <f>sped(A34,9)</f>
        <v>#VALUE!</v>
      </c>
      <c r="L34" s="18" t="e">
        <f>sped(A34,10)</f>
        <v>#VALUE!</v>
      </c>
      <c r="M34" s="18" t="e">
        <f>sped(A34,11)</f>
        <v>#VALUE!</v>
      </c>
      <c r="N34" s="18" t="e">
        <f>sped(A34,12)</f>
        <v>#VALUE!</v>
      </c>
      <c r="O34" s="18" t="e">
        <f>sped(A34,13)</f>
        <v>#VALUE!</v>
      </c>
      <c r="P34" s="18" t="e">
        <f>sped(A34,14)</f>
        <v>#VALUE!</v>
      </c>
      <c r="Q34" s="18" t="e">
        <f>sped(A34,15)</f>
        <v>#VALUE!</v>
      </c>
      <c r="R34" s="18" t="e">
        <f>sped(A34,16)</f>
        <v>#VALUE!</v>
      </c>
      <c r="S34" s="18" t="e">
        <f>sped(A34,17)</f>
        <v>#VALUE!</v>
      </c>
      <c r="T34" s="18" t="e">
        <f>sped(A34,18)</f>
        <v>#VALUE!</v>
      </c>
      <c r="U34" s="18" t="e">
        <f>sped(A34,19)</f>
        <v>#VALUE!</v>
      </c>
      <c r="V34" s="18" t="e">
        <f>sped(A34,20)</f>
        <v>#VALUE!</v>
      </c>
      <c r="W34" s="18" t="e">
        <f>sped(A34,21)</f>
        <v>#VALUE!</v>
      </c>
    </row>
    <row r="35" spans="1:39" x14ac:dyDescent="0.2">
      <c r="B35" s="46" t="s">
        <v>63</v>
      </c>
      <c r="C35" s="23">
        <v>1</v>
      </c>
      <c r="D35" s="23">
        <v>2</v>
      </c>
      <c r="E35" s="23">
        <v>3</v>
      </c>
      <c r="F35" s="23">
        <v>4</v>
      </c>
      <c r="G35" s="23">
        <v>5</v>
      </c>
      <c r="H35" s="23">
        <v>6</v>
      </c>
      <c r="I35" s="23">
        <v>7</v>
      </c>
      <c r="J35" s="23">
        <v>8</v>
      </c>
      <c r="K35" s="23">
        <v>9</v>
      </c>
      <c r="L35" s="23">
        <v>10</v>
      </c>
      <c r="M35" s="23">
        <v>11</v>
      </c>
      <c r="N35" s="23">
        <v>12</v>
      </c>
      <c r="O35" s="23">
        <v>13</v>
      </c>
      <c r="P35" s="23">
        <v>14</v>
      </c>
      <c r="Q35" s="23">
        <v>15</v>
      </c>
      <c r="R35" s="23">
        <v>16</v>
      </c>
      <c r="S35" s="23">
        <v>17</v>
      </c>
      <c r="T35" s="23">
        <v>18</v>
      </c>
    </row>
    <row r="36" spans="1:39" x14ac:dyDescent="0.2">
      <c r="B36" s="47"/>
      <c r="C36" s="23" t="s">
        <v>781</v>
      </c>
      <c r="D36" s="23" t="s">
        <v>878</v>
      </c>
      <c r="E36" s="23" t="s">
        <v>795</v>
      </c>
      <c r="F36" s="23" t="s">
        <v>880</v>
      </c>
      <c r="G36" s="23" t="s">
        <v>886</v>
      </c>
      <c r="H36" s="23" t="s">
        <v>865</v>
      </c>
      <c r="I36" s="23" t="s">
        <v>819</v>
      </c>
      <c r="J36" s="23" t="s">
        <v>821</v>
      </c>
      <c r="K36" s="23" t="s">
        <v>802</v>
      </c>
      <c r="L36" s="23" t="s">
        <v>805</v>
      </c>
      <c r="M36" s="23" t="s">
        <v>807</v>
      </c>
      <c r="N36" s="23" t="s">
        <v>809</v>
      </c>
      <c r="O36" s="23" t="s">
        <v>811</v>
      </c>
      <c r="P36" s="23" t="s">
        <v>813</v>
      </c>
      <c r="Q36" s="23" t="s">
        <v>815</v>
      </c>
      <c r="R36" s="23" t="s">
        <v>817</v>
      </c>
      <c r="S36" s="23" t="s">
        <v>825</v>
      </c>
      <c r="T36" s="23" t="s">
        <v>827</v>
      </c>
    </row>
    <row r="37" spans="1:39" x14ac:dyDescent="0.2">
      <c r="A37" s="21" t="s">
        <v>63</v>
      </c>
      <c r="B37" s="34" t="e">
        <f>CONCATE("|",C37:T37,2)</f>
        <v>#VALUE!</v>
      </c>
      <c r="C37" s="18" t="e">
        <f>sped(A37,1)</f>
        <v>#VALUE!</v>
      </c>
      <c r="D37" s="18" t="e">
        <f>sped(A37,2)</f>
        <v>#VALUE!</v>
      </c>
      <c r="E37" s="18" t="e">
        <f>sped(A37,3)</f>
        <v>#VALUE!</v>
      </c>
      <c r="F37" s="18" t="e">
        <f>sped(A37,4)</f>
        <v>#VALUE!</v>
      </c>
      <c r="G37" s="18" t="e">
        <f>sped(A37,5)</f>
        <v>#VALUE!</v>
      </c>
      <c r="H37" s="18" t="e">
        <f>sped(A37,6)</f>
        <v>#VALUE!</v>
      </c>
      <c r="I37" s="18" t="e">
        <f>sped(A37,7)</f>
        <v>#VALUE!</v>
      </c>
      <c r="J37" s="18" t="e">
        <f>sped(A37,8)</f>
        <v>#VALUE!</v>
      </c>
      <c r="K37" s="18" t="e">
        <f>sped(A37,9)</f>
        <v>#VALUE!</v>
      </c>
      <c r="L37" s="18" t="e">
        <f>sped(A37,10)</f>
        <v>#VALUE!</v>
      </c>
      <c r="M37" s="18" t="e">
        <f>sped(A37,11)</f>
        <v>#VALUE!</v>
      </c>
      <c r="N37" s="18" t="e">
        <f>sped(A37,12)</f>
        <v>#VALUE!</v>
      </c>
      <c r="O37" s="18" t="e">
        <f>sped(A37,13)</f>
        <v>#VALUE!</v>
      </c>
      <c r="P37" s="18" t="e">
        <f>sped(A37,14)</f>
        <v>#VALUE!</v>
      </c>
      <c r="Q37" s="18" t="e">
        <f>sped(A37,15)</f>
        <v>#VALUE!</v>
      </c>
      <c r="R37" s="18" t="e">
        <f>sped(A37,16)</f>
        <v>#VALUE!</v>
      </c>
      <c r="S37" s="18" t="e">
        <f>sped(A37,17)</f>
        <v>#VALUE!</v>
      </c>
      <c r="T37" s="18" t="e">
        <f>sped(A37,18)</f>
        <v>#VALUE!</v>
      </c>
    </row>
    <row r="39" spans="1:39" x14ac:dyDescent="0.2">
      <c r="B39" s="46" t="s">
        <v>68</v>
      </c>
      <c r="C39" s="23">
        <v>1</v>
      </c>
      <c r="D39" s="23">
        <v>2</v>
      </c>
      <c r="E39" s="23">
        <v>3</v>
      </c>
      <c r="F39" s="23">
        <v>4</v>
      </c>
      <c r="G39" s="23">
        <v>5</v>
      </c>
      <c r="H39" s="23">
        <v>6</v>
      </c>
      <c r="I39" s="23">
        <v>7</v>
      </c>
      <c r="J39" s="23">
        <v>8</v>
      </c>
      <c r="K39" s="23">
        <v>9</v>
      </c>
      <c r="L39" s="23">
        <v>10</v>
      </c>
      <c r="M39" s="23">
        <v>11</v>
      </c>
      <c r="N39" s="23">
        <v>12</v>
      </c>
      <c r="O39" s="23">
        <v>13</v>
      </c>
      <c r="P39" s="23">
        <v>14</v>
      </c>
      <c r="Q39" s="23">
        <v>15</v>
      </c>
      <c r="R39" s="23">
        <v>16</v>
      </c>
      <c r="S39" s="23">
        <v>17</v>
      </c>
      <c r="T39" s="23">
        <v>18</v>
      </c>
      <c r="U39" s="23">
        <v>19</v>
      </c>
      <c r="V39" s="23">
        <v>20</v>
      </c>
      <c r="W39" s="23">
        <v>21</v>
      </c>
      <c r="X39" s="23">
        <v>22</v>
      </c>
      <c r="Y39" s="23">
        <v>23</v>
      </c>
      <c r="Z39" s="23">
        <v>24</v>
      </c>
      <c r="AA39" s="23">
        <v>25</v>
      </c>
      <c r="AB39" s="23">
        <v>26</v>
      </c>
      <c r="AC39" s="23">
        <v>27</v>
      </c>
      <c r="AD39" s="23">
        <v>28</v>
      </c>
      <c r="AE39" s="23">
        <v>29</v>
      </c>
    </row>
    <row r="40" spans="1:39" x14ac:dyDescent="0.2">
      <c r="B40" s="47"/>
      <c r="C40" s="23" t="s">
        <v>781</v>
      </c>
      <c r="D40" s="23" t="s">
        <v>786</v>
      </c>
      <c r="E40" s="23" t="s">
        <v>835</v>
      </c>
      <c r="F40" s="23" t="s">
        <v>792</v>
      </c>
      <c r="G40" s="23" t="s">
        <v>950</v>
      </c>
      <c r="H40" s="23" t="s">
        <v>842</v>
      </c>
      <c r="I40" s="23" t="s">
        <v>846</v>
      </c>
      <c r="J40" s="23" t="s">
        <v>850</v>
      </c>
      <c r="K40" s="23" t="s">
        <v>1024</v>
      </c>
      <c r="L40" s="23" t="s">
        <v>854</v>
      </c>
      <c r="M40" s="23" t="s">
        <v>1026</v>
      </c>
      <c r="N40" s="23" t="s">
        <v>858</v>
      </c>
      <c r="O40" s="23" t="s">
        <v>860</v>
      </c>
      <c r="P40" s="23" t="s">
        <v>865</v>
      </c>
      <c r="Q40" s="23" t="s">
        <v>1030</v>
      </c>
      <c r="R40" s="23" t="s">
        <v>1032</v>
      </c>
      <c r="S40" s="23" t="s">
        <v>1034</v>
      </c>
      <c r="T40" s="23" t="s">
        <v>1052</v>
      </c>
      <c r="U40" s="23" t="s">
        <v>1054</v>
      </c>
      <c r="V40" s="23" t="s">
        <v>1056</v>
      </c>
      <c r="W40" s="23" t="s">
        <v>900</v>
      </c>
      <c r="X40" s="23" t="s">
        <v>904</v>
      </c>
      <c r="Y40" s="23" t="s">
        <v>906</v>
      </c>
      <c r="Z40" s="23" t="s">
        <v>910</v>
      </c>
      <c r="AA40" s="23" t="s">
        <v>924</v>
      </c>
      <c r="AB40" s="23" t="s">
        <v>809</v>
      </c>
      <c r="AC40" s="23" t="s">
        <v>817</v>
      </c>
      <c r="AD40" s="23" t="s">
        <v>1061</v>
      </c>
      <c r="AE40" s="23" t="s">
        <v>1063</v>
      </c>
    </row>
    <row r="41" spans="1:39" ht="12.75" x14ac:dyDescent="0.2">
      <c r="A41" s="21" t="s">
        <v>68</v>
      </c>
      <c r="B41" s="34" t="e">
        <f>CONCATE("|",C41:AE41,2)</f>
        <v>#VALUE!</v>
      </c>
      <c r="C41" s="18" t="e">
        <f>sped(A41,1)</f>
        <v>#VALUE!</v>
      </c>
      <c r="D41" s="18" t="e">
        <f>sped(A41,2)</f>
        <v>#VALUE!</v>
      </c>
      <c r="E41" s="18" t="e">
        <f>sped(A41,3)</f>
        <v>#VALUE!</v>
      </c>
      <c r="F41" s="18" t="e">
        <f>sped(A41,4)</f>
        <v>#VALUE!</v>
      </c>
      <c r="G41" s="18" t="e">
        <f>sped(A41,5)</f>
        <v>#VALUE!</v>
      </c>
      <c r="H41" s="18" t="e">
        <f>sped(A41,6)</f>
        <v>#VALUE!</v>
      </c>
      <c r="I41" s="18" t="e">
        <f>sped(A41,7)</f>
        <v>#VALUE!</v>
      </c>
      <c r="J41" s="18" t="e">
        <f>sped(A41,8)</f>
        <v>#VALUE!</v>
      </c>
      <c r="K41" s="18" t="e">
        <f>sped(A41,9)</f>
        <v>#VALUE!</v>
      </c>
      <c r="L41" s="18" t="e">
        <f>sped(A41,10)</f>
        <v>#VALUE!</v>
      </c>
      <c r="M41" s="18" t="e">
        <f>sped(A41,11)</f>
        <v>#VALUE!</v>
      </c>
      <c r="N41" s="18" t="e">
        <f>sped(A41,12)</f>
        <v>#VALUE!</v>
      </c>
      <c r="O41" s="18" t="e">
        <f>sped(A41,13)</f>
        <v>#VALUE!</v>
      </c>
      <c r="P41" s="18" t="e">
        <f>sped(A41,14)</f>
        <v>#VALUE!</v>
      </c>
      <c r="Q41" s="18" t="e">
        <f>sped(A41,15)</f>
        <v>#VALUE!</v>
      </c>
      <c r="R41" s="18" t="e">
        <f>sped(A41,16)</f>
        <v>#VALUE!</v>
      </c>
      <c r="S41" s="18" t="e">
        <f>sped(A41,17)</f>
        <v>#VALUE!</v>
      </c>
      <c r="T41" s="18" t="e">
        <f>sped(A41,18)</f>
        <v>#VALUE!</v>
      </c>
      <c r="U41" s="18" t="e">
        <f>sped(A41,19)</f>
        <v>#VALUE!</v>
      </c>
      <c r="V41" s="18" t="e">
        <f>sped(A41,20)</f>
        <v>#VALUE!</v>
      </c>
      <c r="W41" s="18" t="e">
        <f>sped(A41,21)</f>
        <v>#VALUE!</v>
      </c>
      <c r="X41" s="31" t="e">
        <f>sped(A34,22)</f>
        <v>#VALUE!</v>
      </c>
      <c r="Y41" s="31" t="e">
        <f>sped(A34,23)</f>
        <v>#VALUE!</v>
      </c>
      <c r="Z41" s="31" t="e">
        <f>sped(A34,24)</f>
        <v>#VALUE!</v>
      </c>
      <c r="AA41" s="31" t="e">
        <f>sped(A34,25)</f>
        <v>#VALUE!</v>
      </c>
      <c r="AB41" s="31" t="e">
        <f>sped(A34,26)</f>
        <v>#VALUE!</v>
      </c>
      <c r="AC41" s="31" t="e">
        <f>sped(A34,27)</f>
        <v>#VALUE!</v>
      </c>
      <c r="AD41" s="31" t="e">
        <f>sped(A34,28)</f>
        <v>#VALUE!</v>
      </c>
      <c r="AE41" s="31" t="e">
        <f>sped(A34,29)</f>
        <v>#VALUE!</v>
      </c>
    </row>
    <row r="42" spans="1:39" x14ac:dyDescent="0.2">
      <c r="B42" s="46" t="s">
        <v>75</v>
      </c>
      <c r="C42" s="23">
        <v>1</v>
      </c>
      <c r="D42" s="23">
        <v>2</v>
      </c>
      <c r="E42" s="23">
        <v>3</v>
      </c>
      <c r="F42" s="23">
        <v>4</v>
      </c>
      <c r="G42" s="23">
        <v>5</v>
      </c>
      <c r="H42" s="23">
        <v>6</v>
      </c>
      <c r="I42" s="23">
        <v>7</v>
      </c>
      <c r="J42" s="23">
        <v>8</v>
      </c>
      <c r="K42" s="23">
        <v>9</v>
      </c>
      <c r="L42" s="23">
        <v>10</v>
      </c>
      <c r="M42" s="23">
        <v>11</v>
      </c>
      <c r="N42" s="23">
        <v>12</v>
      </c>
      <c r="O42" s="23">
        <v>13</v>
      </c>
      <c r="P42" s="23">
        <v>14</v>
      </c>
      <c r="Q42" s="23">
        <v>15</v>
      </c>
      <c r="R42" s="23">
        <v>16</v>
      </c>
      <c r="S42" s="23">
        <v>17</v>
      </c>
      <c r="T42" s="23">
        <v>18</v>
      </c>
      <c r="U42" s="23">
        <v>19</v>
      </c>
      <c r="V42" s="23">
        <v>20</v>
      </c>
      <c r="W42" s="23">
        <v>21</v>
      </c>
      <c r="X42" s="23">
        <v>22</v>
      </c>
      <c r="Y42" s="23">
        <v>23</v>
      </c>
      <c r="Z42" s="23">
        <v>24</v>
      </c>
      <c r="AA42" s="23">
        <v>25</v>
      </c>
      <c r="AB42" s="23">
        <v>26</v>
      </c>
      <c r="AC42" s="23">
        <v>27</v>
      </c>
      <c r="AD42" s="23">
        <v>28</v>
      </c>
      <c r="AE42" s="23">
        <v>29</v>
      </c>
      <c r="AF42" s="23">
        <v>30</v>
      </c>
      <c r="AG42" s="23">
        <v>31</v>
      </c>
      <c r="AH42" s="23">
        <v>32</v>
      </c>
      <c r="AI42" s="23">
        <v>33</v>
      </c>
      <c r="AJ42" s="23">
        <v>34</v>
      </c>
      <c r="AK42" s="23">
        <v>35</v>
      </c>
      <c r="AL42" s="23">
        <v>36</v>
      </c>
      <c r="AM42" s="23">
        <v>37</v>
      </c>
    </row>
    <row r="43" spans="1:39" x14ac:dyDescent="0.2">
      <c r="B43" s="47"/>
      <c r="C43" s="23" t="s">
        <v>781</v>
      </c>
      <c r="D43" s="23" t="s">
        <v>878</v>
      </c>
      <c r="E43" s="23" t="s">
        <v>795</v>
      </c>
      <c r="F43" s="23" t="s">
        <v>880</v>
      </c>
      <c r="G43" s="23" t="s">
        <v>882</v>
      </c>
      <c r="H43" s="23" t="s">
        <v>884</v>
      </c>
      <c r="I43" s="23" t="s">
        <v>886</v>
      </c>
      <c r="J43" s="23" t="s">
        <v>865</v>
      </c>
      <c r="K43" s="23" t="s">
        <v>889</v>
      </c>
      <c r="L43" s="23" t="s">
        <v>893</v>
      </c>
      <c r="M43" s="23" t="s">
        <v>896</v>
      </c>
      <c r="N43" s="23" t="s">
        <v>898</v>
      </c>
      <c r="O43" s="23" t="s">
        <v>900</v>
      </c>
      <c r="P43" s="23" t="s">
        <v>902</v>
      </c>
      <c r="Q43" s="23" t="s">
        <v>904</v>
      </c>
      <c r="R43" s="23" t="s">
        <v>906</v>
      </c>
      <c r="S43" s="23" t="s">
        <v>908</v>
      </c>
      <c r="T43" s="23" t="s">
        <v>910</v>
      </c>
      <c r="U43" s="23" t="s">
        <v>912</v>
      </c>
      <c r="V43" s="23" t="s">
        <v>916</v>
      </c>
      <c r="W43" s="23" t="s">
        <v>918</v>
      </c>
      <c r="X43" s="23" t="s">
        <v>920</v>
      </c>
      <c r="Y43" s="23" t="s">
        <v>922</v>
      </c>
      <c r="Z43" s="23" t="s">
        <v>924</v>
      </c>
      <c r="AA43" s="23" t="s">
        <v>802</v>
      </c>
      <c r="AB43" s="23" t="s">
        <v>805</v>
      </c>
      <c r="AC43" s="23" t="s">
        <v>807</v>
      </c>
      <c r="AD43" s="23" t="s">
        <v>928</v>
      </c>
      <c r="AE43" s="23" t="s">
        <v>930</v>
      </c>
      <c r="AF43" s="23" t="s">
        <v>809</v>
      </c>
      <c r="AG43" s="23" t="s">
        <v>811</v>
      </c>
      <c r="AH43" s="23" t="s">
        <v>813</v>
      </c>
      <c r="AI43" s="23" t="s">
        <v>815</v>
      </c>
      <c r="AJ43" s="23" t="s">
        <v>934</v>
      </c>
      <c r="AK43" s="23" t="s">
        <v>936</v>
      </c>
      <c r="AL43" s="23" t="s">
        <v>817</v>
      </c>
      <c r="AM43" s="23" t="s">
        <v>825</v>
      </c>
    </row>
    <row r="44" spans="1:39" ht="12.75" x14ac:dyDescent="0.2">
      <c r="A44" s="21" t="s">
        <v>75</v>
      </c>
      <c r="B44" s="34" t="e">
        <f>CONCATE("|",C44:AM44,2)</f>
        <v>#VALUE!</v>
      </c>
      <c r="C44" s="18" t="e">
        <f>sped(A44,1)</f>
        <v>#VALUE!</v>
      </c>
      <c r="D44" s="18" t="e">
        <f>sped(A44,2)</f>
        <v>#VALUE!</v>
      </c>
      <c r="E44" s="18" t="e">
        <f>sped(A44,3)</f>
        <v>#VALUE!</v>
      </c>
      <c r="F44" s="18" t="e">
        <f>sped(A44,4)</f>
        <v>#VALUE!</v>
      </c>
      <c r="G44" s="18" t="e">
        <f>sped(A44,5)</f>
        <v>#VALUE!</v>
      </c>
      <c r="H44" s="18" t="e">
        <f>sped(A44,6)</f>
        <v>#VALUE!</v>
      </c>
      <c r="I44" s="18" t="e">
        <f>sped(A44,7)</f>
        <v>#VALUE!</v>
      </c>
      <c r="J44" s="18" t="e">
        <f>sped(A44,8)</f>
        <v>#VALUE!</v>
      </c>
      <c r="K44" s="18" t="e">
        <f>sped(A44,9)</f>
        <v>#VALUE!</v>
      </c>
      <c r="L44" s="18" t="e">
        <f>sped(A44,10)</f>
        <v>#VALUE!</v>
      </c>
      <c r="M44" s="18" t="e">
        <f>sped(A44,11)</f>
        <v>#VALUE!</v>
      </c>
      <c r="N44" s="18" t="e">
        <f>sped(A44,12)</f>
        <v>#VALUE!</v>
      </c>
      <c r="O44" s="18" t="e">
        <f>sped(A44,13)</f>
        <v>#VALUE!</v>
      </c>
      <c r="P44" s="18" t="e">
        <f>sped(A44,14)</f>
        <v>#VALUE!</v>
      </c>
      <c r="Q44" s="18" t="e">
        <f>sped(A44,15)</f>
        <v>#VALUE!</v>
      </c>
      <c r="R44" s="18" t="e">
        <f>sped(A44,16)</f>
        <v>#VALUE!</v>
      </c>
      <c r="S44" s="18" t="e">
        <f>sped(A44,17)</f>
        <v>#VALUE!</v>
      </c>
      <c r="T44" s="18" t="e">
        <f>sped(A44,18)</f>
        <v>#VALUE!</v>
      </c>
      <c r="U44" s="18" t="e">
        <f>sped(A44,19)</f>
        <v>#VALUE!</v>
      </c>
      <c r="V44" s="18" t="e">
        <f>sped(A44,20)</f>
        <v>#VALUE!</v>
      </c>
      <c r="W44" s="18" t="e">
        <f>sped(A44,21)</f>
        <v>#VALUE!</v>
      </c>
      <c r="X44" s="31" t="e">
        <f>sped(A37,22)</f>
        <v>#VALUE!</v>
      </c>
      <c r="Y44" s="31" t="e">
        <f>sped(A37,23)</f>
        <v>#VALUE!</v>
      </c>
      <c r="Z44" s="31" t="e">
        <f>sped(A37,24)</f>
        <v>#VALUE!</v>
      </c>
      <c r="AA44" s="31" t="e">
        <f>sped(A37,25)</f>
        <v>#VALUE!</v>
      </c>
      <c r="AB44" s="31" t="e">
        <f>sped(A37,26)</f>
        <v>#VALUE!</v>
      </c>
      <c r="AC44" s="31" t="e">
        <f>sped(A37,27)</f>
        <v>#VALUE!</v>
      </c>
      <c r="AD44" s="31" t="e">
        <f>sped(A37,28)</f>
        <v>#VALUE!</v>
      </c>
      <c r="AE44" s="31" t="e">
        <f>sped(A37,29)</f>
        <v>#VALUE!</v>
      </c>
      <c r="AF44" s="18" t="e">
        <f>sped(A34,30)</f>
        <v>#VALUE!</v>
      </c>
      <c r="AG44" s="18" t="e">
        <f>sped(A34,31)</f>
        <v>#VALUE!</v>
      </c>
      <c r="AH44" s="18" t="e">
        <f>sped(A34,32)</f>
        <v>#VALUE!</v>
      </c>
      <c r="AI44" s="18" t="e">
        <f>sped(A34,33)</f>
        <v>#VALUE!</v>
      </c>
      <c r="AJ44" s="18" t="e">
        <f>sped(A34,34)</f>
        <v>#VALUE!</v>
      </c>
      <c r="AK44" s="18" t="e">
        <f>sped(A34,35)</f>
        <v>#VALUE!</v>
      </c>
      <c r="AL44" s="18" t="e">
        <f>sped(A34,36)</f>
        <v>#VALUE!</v>
      </c>
      <c r="AM44" s="18" t="e">
        <f>sped(A34,37)</f>
        <v>#VALUE!</v>
      </c>
    </row>
    <row r="46" spans="1:39" x14ac:dyDescent="0.2">
      <c r="B46" s="46" t="s">
        <v>115</v>
      </c>
      <c r="C46" s="23">
        <v>1</v>
      </c>
      <c r="D46" s="23">
        <v>2</v>
      </c>
      <c r="E46" s="23">
        <v>3</v>
      </c>
      <c r="F46" s="23">
        <v>4</v>
      </c>
      <c r="G46" s="23">
        <v>5</v>
      </c>
      <c r="H46" s="23">
        <v>6</v>
      </c>
      <c r="I46" s="23">
        <v>7</v>
      </c>
      <c r="J46" s="23">
        <v>8</v>
      </c>
      <c r="K46" s="23">
        <v>9</v>
      </c>
      <c r="L46" s="23">
        <v>10</v>
      </c>
      <c r="M46" s="23">
        <v>11</v>
      </c>
      <c r="N46" s="23">
        <v>12</v>
      </c>
      <c r="O46" s="23">
        <v>13</v>
      </c>
      <c r="P46" s="23">
        <v>14</v>
      </c>
      <c r="Q46" s="23">
        <v>15</v>
      </c>
      <c r="R46" s="22"/>
      <c r="S46" s="22"/>
      <c r="T46" s="22"/>
      <c r="U46" s="22"/>
      <c r="V46" s="22"/>
    </row>
    <row r="47" spans="1:39" x14ac:dyDescent="0.2">
      <c r="B47" s="47"/>
      <c r="C47" s="23" t="s">
        <v>781</v>
      </c>
      <c r="D47" s="23" t="s">
        <v>792</v>
      </c>
      <c r="E47" s="23" t="s">
        <v>950</v>
      </c>
      <c r="F47" s="23" t="s">
        <v>842</v>
      </c>
      <c r="G47" s="23" t="s">
        <v>846</v>
      </c>
      <c r="H47" s="23" t="s">
        <v>848</v>
      </c>
      <c r="I47" s="23" t="s">
        <v>850</v>
      </c>
      <c r="J47" s="23" t="s">
        <v>854</v>
      </c>
      <c r="K47" s="23" t="s">
        <v>981</v>
      </c>
      <c r="L47" s="23" t="s">
        <v>858</v>
      </c>
      <c r="M47" s="23" t="s">
        <v>904</v>
      </c>
      <c r="N47" s="23" t="s">
        <v>984</v>
      </c>
      <c r="O47" s="23" t="s">
        <v>809</v>
      </c>
      <c r="P47" s="23" t="s">
        <v>817</v>
      </c>
      <c r="Q47" s="23" t="s">
        <v>986</v>
      </c>
      <c r="R47" s="22"/>
      <c r="S47" s="22"/>
      <c r="T47" s="22"/>
      <c r="U47" s="22"/>
      <c r="V47" s="22"/>
    </row>
    <row r="48" spans="1:39" x14ac:dyDescent="0.2">
      <c r="A48" s="21" t="s">
        <v>115</v>
      </c>
      <c r="B48" s="34" t="e">
        <f>CONCATE("|",C48:Q48,2)</f>
        <v>#VALUE!</v>
      </c>
      <c r="C48" s="18" t="e">
        <f>sped(A48,1)</f>
        <v>#VALUE!</v>
      </c>
      <c r="D48" s="18" t="e">
        <f>sped(A48,2)</f>
        <v>#VALUE!</v>
      </c>
      <c r="E48" s="18" t="e">
        <f>sped(A48,3)</f>
        <v>#VALUE!</v>
      </c>
      <c r="F48" s="18" t="e">
        <f>sped(A48,4)</f>
        <v>#VALUE!</v>
      </c>
      <c r="G48" s="18" t="e">
        <f>sped(A48,5)</f>
        <v>#VALUE!</v>
      </c>
      <c r="H48" s="18" t="e">
        <f>sped(A48,6)</f>
        <v>#VALUE!</v>
      </c>
      <c r="I48" s="18" t="e">
        <f>sped(A48,7)</f>
        <v>#VALUE!</v>
      </c>
      <c r="J48" s="18" t="e">
        <f>sped(A48,8)</f>
        <v>#VALUE!</v>
      </c>
      <c r="K48" s="18" t="e">
        <f>sped(A48,9)</f>
        <v>#VALUE!</v>
      </c>
      <c r="L48" s="18" t="e">
        <f>sped(A48,10)</f>
        <v>#VALUE!</v>
      </c>
      <c r="M48" s="18" t="e">
        <f>sped(A48,11)</f>
        <v>#VALUE!</v>
      </c>
      <c r="N48" s="18" t="e">
        <f>sped(A48,12)</f>
        <v>#VALUE!</v>
      </c>
      <c r="O48" s="18" t="e">
        <f>sped(A48,13)</f>
        <v>#VALUE!</v>
      </c>
      <c r="P48" s="18" t="e">
        <f>sped(A48,14)</f>
        <v>#VALUE!</v>
      </c>
      <c r="Q48" s="18" t="e">
        <f>sped(A48,15)</f>
        <v>#VALUE!</v>
      </c>
      <c r="R48" s="22"/>
      <c r="S48" s="22"/>
      <c r="T48" s="22"/>
      <c r="U48" s="22"/>
      <c r="V48" s="22"/>
    </row>
    <row r="49" spans="1:24" x14ac:dyDescent="0.2">
      <c r="B49" s="46" t="s">
        <v>117</v>
      </c>
      <c r="C49" s="23">
        <v>1</v>
      </c>
      <c r="D49" s="23">
        <v>2</v>
      </c>
      <c r="E49" s="23">
        <v>3</v>
      </c>
      <c r="F49" s="23">
        <v>4</v>
      </c>
      <c r="G49" s="23">
        <v>5</v>
      </c>
      <c r="H49" s="23">
        <v>6</v>
      </c>
      <c r="I49" s="23">
        <v>7</v>
      </c>
      <c r="J49" s="23">
        <v>8</v>
      </c>
      <c r="K49" s="22"/>
      <c r="L49" s="22"/>
      <c r="M49" s="22"/>
      <c r="N49" s="22"/>
      <c r="O49" s="22"/>
      <c r="P49" s="22"/>
      <c r="Q49" s="22"/>
      <c r="R49" s="22"/>
      <c r="S49" s="22"/>
      <c r="T49" s="22"/>
      <c r="U49" s="22"/>
      <c r="V49" s="22"/>
    </row>
    <row r="50" spans="1:24" x14ac:dyDescent="0.2">
      <c r="B50" s="47"/>
      <c r="C50" s="23" t="s">
        <v>781</v>
      </c>
      <c r="D50" s="23" t="s">
        <v>802</v>
      </c>
      <c r="E50" s="23" t="s">
        <v>886</v>
      </c>
      <c r="F50" s="23" t="s">
        <v>819</v>
      </c>
      <c r="G50" s="23" t="s">
        <v>805</v>
      </c>
      <c r="H50" s="23" t="s">
        <v>807</v>
      </c>
      <c r="I50" s="23" t="s">
        <v>809</v>
      </c>
      <c r="J50" s="23" t="s">
        <v>825</v>
      </c>
      <c r="K50" s="22"/>
      <c r="L50" s="22"/>
      <c r="M50" s="22"/>
      <c r="N50" s="22"/>
      <c r="O50" s="22"/>
      <c r="P50" s="22"/>
      <c r="Q50" s="22"/>
      <c r="R50" s="22"/>
      <c r="S50" s="22"/>
      <c r="T50" s="22"/>
      <c r="U50" s="22"/>
      <c r="V50" s="22"/>
    </row>
    <row r="51" spans="1:24" x14ac:dyDescent="0.2">
      <c r="A51" s="21" t="s">
        <v>117</v>
      </c>
      <c r="B51" s="34" t="e">
        <f>CONCATE("|",C51:J51,2)</f>
        <v>#VALUE!</v>
      </c>
      <c r="C51" s="18" t="e">
        <f>sped(A51,1)</f>
        <v>#VALUE!</v>
      </c>
      <c r="D51" s="18" t="e">
        <f>sped(A51,2)</f>
        <v>#VALUE!</v>
      </c>
      <c r="E51" s="18" t="e">
        <f>sped(A51,3)</f>
        <v>#VALUE!</v>
      </c>
      <c r="F51" s="18" t="e">
        <f>sped(A51,4)</f>
        <v>#VALUE!</v>
      </c>
      <c r="G51" s="18" t="e">
        <f>sped(A51,5)</f>
        <v>#VALUE!</v>
      </c>
      <c r="H51" s="18" t="e">
        <f>sped(A51,6)</f>
        <v>#VALUE!</v>
      </c>
      <c r="I51" s="18" t="e">
        <f>sped(A51,7)</f>
        <v>#VALUE!</v>
      </c>
      <c r="J51" s="18" t="e">
        <f>sped(A51,8)</f>
        <v>#VALUE!</v>
      </c>
      <c r="K51" s="22"/>
      <c r="L51" s="22"/>
      <c r="M51" s="22"/>
      <c r="N51" s="22"/>
      <c r="O51" s="22"/>
      <c r="P51" s="22"/>
      <c r="Q51" s="22"/>
      <c r="R51" s="22"/>
      <c r="S51" s="22"/>
      <c r="T51" s="22"/>
      <c r="U51" s="22"/>
      <c r="V51" s="22"/>
    </row>
    <row r="52" spans="1:24" x14ac:dyDescent="0.2">
      <c r="B52" s="46" t="s">
        <v>119</v>
      </c>
      <c r="C52" s="23">
        <v>1</v>
      </c>
      <c r="D52" s="23">
        <v>2</v>
      </c>
      <c r="E52" s="23">
        <v>3</v>
      </c>
      <c r="F52" s="23">
        <v>4</v>
      </c>
      <c r="G52" s="23">
        <v>5</v>
      </c>
      <c r="H52" s="23">
        <v>6</v>
      </c>
      <c r="I52" s="23">
        <v>7</v>
      </c>
      <c r="J52" s="23">
        <v>8</v>
      </c>
      <c r="K52" s="22"/>
      <c r="L52" s="22"/>
      <c r="M52" s="22"/>
      <c r="N52" s="22"/>
      <c r="O52" s="22"/>
      <c r="P52" s="22"/>
      <c r="Q52" s="22"/>
      <c r="R52" s="22"/>
      <c r="S52" s="22"/>
      <c r="T52" s="22"/>
      <c r="U52" s="22"/>
      <c r="V52" s="22"/>
    </row>
    <row r="53" spans="1:24" x14ac:dyDescent="0.2">
      <c r="B53" s="47"/>
      <c r="C53" s="23" t="s">
        <v>781</v>
      </c>
      <c r="D53" s="23" t="s">
        <v>811</v>
      </c>
      <c r="E53" s="23" t="s">
        <v>886</v>
      </c>
      <c r="F53" s="23" t="s">
        <v>819</v>
      </c>
      <c r="G53" s="23" t="s">
        <v>813</v>
      </c>
      <c r="H53" s="23" t="s">
        <v>807</v>
      </c>
      <c r="I53" s="23" t="s">
        <v>809</v>
      </c>
      <c r="J53" s="23" t="s">
        <v>825</v>
      </c>
      <c r="K53" s="22"/>
      <c r="L53" s="22"/>
      <c r="M53" s="22"/>
      <c r="N53" s="22"/>
      <c r="O53" s="22"/>
      <c r="P53" s="22"/>
      <c r="Q53" s="22"/>
      <c r="R53" s="22"/>
      <c r="S53" s="22"/>
      <c r="T53" s="22"/>
      <c r="U53" s="22"/>
      <c r="V53" s="22"/>
    </row>
    <row r="54" spans="1:24" x14ac:dyDescent="0.2">
      <c r="A54" s="21" t="s">
        <v>119</v>
      </c>
      <c r="B54" s="34" t="e">
        <f>CONCATE("|",C54:J54,2)</f>
        <v>#VALUE!</v>
      </c>
      <c r="C54" s="18" t="e">
        <f>sped(A54,1)</f>
        <v>#VALUE!</v>
      </c>
      <c r="D54" s="18" t="e">
        <f>sped(A54,2)</f>
        <v>#VALUE!</v>
      </c>
      <c r="E54" s="18" t="e">
        <f>sped(A54,3)</f>
        <v>#VALUE!</v>
      </c>
      <c r="F54" s="18" t="e">
        <f>sped(A54,4)</f>
        <v>#VALUE!</v>
      </c>
      <c r="G54" s="18" t="e">
        <f>sped(A54,5)</f>
        <v>#VALUE!</v>
      </c>
      <c r="H54" s="18" t="e">
        <f>sped(A54,6)</f>
        <v>#VALUE!</v>
      </c>
      <c r="I54" s="18" t="e">
        <f>sped(A54,7)</f>
        <v>#VALUE!</v>
      </c>
      <c r="J54" s="18" t="e">
        <f>sped(A54,8)</f>
        <v>#VALUE!</v>
      </c>
      <c r="K54" s="22"/>
      <c r="L54" s="22"/>
      <c r="M54" s="22"/>
      <c r="N54" s="22"/>
      <c r="O54" s="22"/>
      <c r="P54" s="22"/>
      <c r="Q54" s="22"/>
      <c r="R54" s="22"/>
      <c r="S54" s="22"/>
      <c r="T54" s="22"/>
      <c r="U54" s="22"/>
      <c r="V54" s="22"/>
    </row>
    <row r="56" spans="1:24" x14ac:dyDescent="0.2">
      <c r="B56" s="46" t="s">
        <v>167</v>
      </c>
      <c r="C56" s="23">
        <v>1</v>
      </c>
      <c r="D56" s="23">
        <v>2</v>
      </c>
      <c r="E56" s="23">
        <v>3</v>
      </c>
      <c r="F56" s="23">
        <v>4</v>
      </c>
      <c r="G56" s="23">
        <v>5</v>
      </c>
      <c r="H56" s="23">
        <v>6</v>
      </c>
      <c r="I56" s="23">
        <v>7</v>
      </c>
      <c r="J56" s="23">
        <v>8</v>
      </c>
      <c r="K56" s="23">
        <v>9</v>
      </c>
      <c r="L56" s="23">
        <v>10</v>
      </c>
      <c r="M56" s="23">
        <v>11</v>
      </c>
      <c r="N56" s="23">
        <v>12</v>
      </c>
      <c r="O56" s="23">
        <v>13</v>
      </c>
      <c r="P56" s="23">
        <v>14</v>
      </c>
      <c r="Q56" s="23">
        <v>15</v>
      </c>
      <c r="R56" s="23">
        <v>16</v>
      </c>
      <c r="S56" s="23">
        <v>17</v>
      </c>
      <c r="T56" s="23">
        <v>18</v>
      </c>
      <c r="U56" s="23">
        <v>19</v>
      </c>
      <c r="V56" s="23">
        <v>20</v>
      </c>
      <c r="W56" s="23">
        <v>21</v>
      </c>
      <c r="X56" s="23">
        <v>22</v>
      </c>
    </row>
    <row r="57" spans="1:24" x14ac:dyDescent="0.2">
      <c r="B57" s="47"/>
      <c r="C57" s="23" t="s">
        <v>781</v>
      </c>
      <c r="D57" s="23" t="s">
        <v>786</v>
      </c>
      <c r="E57" s="23" t="s">
        <v>835</v>
      </c>
      <c r="F57" s="23" t="s">
        <v>792</v>
      </c>
      <c r="G57" s="23" t="s">
        <v>950</v>
      </c>
      <c r="H57" s="23" t="s">
        <v>842</v>
      </c>
      <c r="I57" s="23" t="s">
        <v>846</v>
      </c>
      <c r="J57" s="23" t="s">
        <v>848</v>
      </c>
      <c r="K57" s="23" t="s">
        <v>850</v>
      </c>
      <c r="L57" s="23" t="s">
        <v>854</v>
      </c>
      <c r="M57" s="23" t="s">
        <v>995</v>
      </c>
      <c r="N57" s="23" t="s">
        <v>858</v>
      </c>
      <c r="O57" s="23" t="s">
        <v>865</v>
      </c>
      <c r="P57" s="23" t="s">
        <v>966</v>
      </c>
      <c r="Q57" s="23" t="s">
        <v>968</v>
      </c>
      <c r="R57" s="23" t="s">
        <v>970</v>
      </c>
      <c r="S57" s="23" t="s">
        <v>972</v>
      </c>
      <c r="T57" s="23" t="s">
        <v>900</v>
      </c>
      <c r="U57" s="23" t="s">
        <v>904</v>
      </c>
      <c r="V57" s="23" t="s">
        <v>984</v>
      </c>
      <c r="W57" s="23" t="s">
        <v>809</v>
      </c>
      <c r="X57" s="23" t="s">
        <v>817</v>
      </c>
    </row>
    <row r="58" spans="1:24" ht="12.75" x14ac:dyDescent="0.2">
      <c r="A58" s="21" t="s">
        <v>167</v>
      </c>
      <c r="B58" s="34" t="e">
        <f>CONCATE("|",C58:X58,2)</f>
        <v>#VALUE!</v>
      </c>
      <c r="C58" s="18" t="e">
        <f>sped(A58,1)</f>
        <v>#VALUE!</v>
      </c>
      <c r="D58" s="18" t="e">
        <f>sped(A58,2)</f>
        <v>#VALUE!</v>
      </c>
      <c r="E58" s="18" t="e">
        <f>sped(A58,3)</f>
        <v>#VALUE!</v>
      </c>
      <c r="F58" s="18" t="e">
        <f>sped(A58,4)</f>
        <v>#VALUE!</v>
      </c>
      <c r="G58" s="18" t="e">
        <f>sped(A58,5)</f>
        <v>#VALUE!</v>
      </c>
      <c r="H58" s="18" t="e">
        <f>sped(A58,6)</f>
        <v>#VALUE!</v>
      </c>
      <c r="I58" s="18" t="e">
        <f>sped(A58,7)</f>
        <v>#VALUE!</v>
      </c>
      <c r="J58" s="18" t="e">
        <f>sped(A58,8)</f>
        <v>#VALUE!</v>
      </c>
      <c r="K58" s="18" t="e">
        <f>sped(A58,9)</f>
        <v>#VALUE!</v>
      </c>
      <c r="L58" s="18" t="e">
        <f>sped(A58,10)</f>
        <v>#VALUE!</v>
      </c>
      <c r="M58" s="18" t="e">
        <f>sped(A58,11)</f>
        <v>#VALUE!</v>
      </c>
      <c r="N58" s="18" t="e">
        <f>sped(A58,12)</f>
        <v>#VALUE!</v>
      </c>
      <c r="O58" s="18" t="e">
        <f>sped(A58,13)</f>
        <v>#VALUE!</v>
      </c>
      <c r="P58" s="18" t="e">
        <f>sped(A58,14)</f>
        <v>#VALUE!</v>
      </c>
      <c r="Q58" s="18" t="e">
        <f>sped(A58,15)</f>
        <v>#VALUE!</v>
      </c>
      <c r="R58" s="18" t="e">
        <f>sped(A58,16)</f>
        <v>#VALUE!</v>
      </c>
      <c r="S58" s="18" t="e">
        <f>sped(A58,17)</f>
        <v>#VALUE!</v>
      </c>
      <c r="T58" s="18" t="e">
        <f>sped(A58,18)</f>
        <v>#VALUE!</v>
      </c>
      <c r="U58" s="18" t="e">
        <f>sped(A58,19)</f>
        <v>#VALUE!</v>
      </c>
      <c r="V58" s="18" t="e">
        <f>sped(A58,20)</f>
        <v>#VALUE!</v>
      </c>
      <c r="W58" s="18" t="e">
        <f>sped(A58,21)</f>
        <v>#VALUE!</v>
      </c>
      <c r="X58" s="31" t="e">
        <f>sped(A51,22)</f>
        <v>#VALUE!</v>
      </c>
    </row>
    <row r="59" spans="1:24" x14ac:dyDescent="0.2">
      <c r="B59" s="46" t="s">
        <v>169</v>
      </c>
      <c r="C59" s="23">
        <v>1</v>
      </c>
      <c r="D59" s="23">
        <v>2</v>
      </c>
      <c r="E59" s="23">
        <v>3</v>
      </c>
      <c r="F59" s="23">
        <v>4</v>
      </c>
      <c r="G59" s="23">
        <v>5</v>
      </c>
      <c r="H59" s="23">
        <v>6</v>
      </c>
      <c r="I59" s="23">
        <v>7</v>
      </c>
      <c r="J59" s="23">
        <v>8</v>
      </c>
    </row>
    <row r="60" spans="1:24" x14ac:dyDescent="0.2">
      <c r="B60" s="47"/>
      <c r="C60" s="23" t="s">
        <v>781</v>
      </c>
      <c r="D60" s="23" t="s">
        <v>802</v>
      </c>
      <c r="E60" s="23" t="s">
        <v>886</v>
      </c>
      <c r="F60" s="23" t="s">
        <v>819</v>
      </c>
      <c r="G60" s="23" t="s">
        <v>805</v>
      </c>
      <c r="H60" s="23" t="s">
        <v>807</v>
      </c>
      <c r="I60" s="23" t="s">
        <v>809</v>
      </c>
      <c r="J60" s="23" t="s">
        <v>825</v>
      </c>
    </row>
    <row r="61" spans="1:24" x14ac:dyDescent="0.2">
      <c r="A61" s="21" t="s">
        <v>169</v>
      </c>
      <c r="B61" s="34" t="e">
        <f>CONCATE("|",C61:J61,2)</f>
        <v>#VALUE!</v>
      </c>
      <c r="C61" s="18" t="e">
        <f>sped(A61,1)</f>
        <v>#VALUE!</v>
      </c>
      <c r="D61" s="18" t="e">
        <f>sped(A61,2)</f>
        <v>#VALUE!</v>
      </c>
      <c r="E61" s="18" t="e">
        <f>sped(A61,3)</f>
        <v>#VALUE!</v>
      </c>
      <c r="F61" s="18" t="e">
        <f>sped(A61,4)</f>
        <v>#VALUE!</v>
      </c>
      <c r="G61" s="18" t="e">
        <f>sped(A61,5)</f>
        <v>#VALUE!</v>
      </c>
      <c r="H61" s="18" t="e">
        <f>sped(A61,6)</f>
        <v>#VALUE!</v>
      </c>
      <c r="I61" s="18" t="e">
        <f>sped(A61,7)</f>
        <v>#VALUE!</v>
      </c>
      <c r="J61" s="18" t="e">
        <f>sped(A61,8)</f>
        <v>#VALUE!</v>
      </c>
    </row>
    <row r="62" spans="1:24" x14ac:dyDescent="0.2">
      <c r="B62" s="46" t="s">
        <v>171</v>
      </c>
      <c r="C62" s="23">
        <v>1</v>
      </c>
      <c r="D62" s="23">
        <v>2</v>
      </c>
      <c r="E62" s="23">
        <v>3</v>
      </c>
      <c r="F62" s="23">
        <v>4</v>
      </c>
      <c r="G62" s="23">
        <v>5</v>
      </c>
      <c r="H62" s="23">
        <v>6</v>
      </c>
      <c r="I62" s="23">
        <v>7</v>
      </c>
      <c r="J62" s="23">
        <v>8</v>
      </c>
    </row>
    <row r="63" spans="1:24" x14ac:dyDescent="0.2">
      <c r="B63" s="47"/>
      <c r="C63" s="23" t="s">
        <v>781</v>
      </c>
      <c r="D63" s="23" t="s">
        <v>811</v>
      </c>
      <c r="E63" s="23" t="s">
        <v>886</v>
      </c>
      <c r="F63" s="23" t="s">
        <v>819</v>
      </c>
      <c r="G63" s="23" t="s">
        <v>813</v>
      </c>
      <c r="H63" s="23" t="s">
        <v>815</v>
      </c>
      <c r="I63" s="23" t="s">
        <v>817</v>
      </c>
      <c r="J63" s="23" t="s">
        <v>825</v>
      </c>
    </row>
    <row r="64" spans="1:24" x14ac:dyDescent="0.2">
      <c r="A64" s="21" t="s">
        <v>171</v>
      </c>
      <c r="B64" s="34" t="e">
        <f>CONCATE("|",C64:J64,2)</f>
        <v>#VALUE!</v>
      </c>
      <c r="C64" s="18" t="e">
        <f>sped(A64,1)</f>
        <v>#VALUE!</v>
      </c>
      <c r="D64" s="18" t="e">
        <f>sped(A64,2)</f>
        <v>#VALUE!</v>
      </c>
      <c r="E64" s="18" t="e">
        <f>sped(A64,3)</f>
        <v>#VALUE!</v>
      </c>
      <c r="F64" s="18" t="e">
        <f>sped(A64,4)</f>
        <v>#VALUE!</v>
      </c>
      <c r="G64" s="18" t="e">
        <f>sped(A64,5)</f>
        <v>#VALUE!</v>
      </c>
      <c r="H64" s="18" t="e">
        <f>sped(A64,6)</f>
        <v>#VALUE!</v>
      </c>
      <c r="I64" s="18" t="e">
        <f>sped(A64,7)</f>
        <v>#VALUE!</v>
      </c>
      <c r="J64" s="18" t="e">
        <f>sped(A64,8)</f>
        <v>#VALUE!</v>
      </c>
    </row>
    <row r="66" spans="1:15" x14ac:dyDescent="0.2">
      <c r="B66" s="36" t="s">
        <v>1082</v>
      </c>
    </row>
    <row r="67" spans="1:15" x14ac:dyDescent="0.2">
      <c r="B67" s="48" t="s">
        <v>770</v>
      </c>
      <c r="C67" s="24">
        <v>1</v>
      </c>
      <c r="D67" s="24">
        <v>2</v>
      </c>
      <c r="E67" s="24">
        <v>3</v>
      </c>
      <c r="F67" s="24">
        <v>4</v>
      </c>
      <c r="G67" s="24">
        <v>5</v>
      </c>
      <c r="H67" s="24">
        <v>6</v>
      </c>
      <c r="I67" s="24">
        <v>7</v>
      </c>
      <c r="J67" s="24">
        <v>8</v>
      </c>
      <c r="K67" s="24">
        <v>9</v>
      </c>
      <c r="L67" s="24">
        <v>10</v>
      </c>
      <c r="M67" s="24">
        <v>11</v>
      </c>
      <c r="N67" s="24">
        <v>12</v>
      </c>
      <c r="O67" s="24">
        <v>13</v>
      </c>
    </row>
    <row r="68" spans="1:15" x14ac:dyDescent="0.2">
      <c r="B68" s="49"/>
      <c r="C68" s="24" t="s">
        <v>781</v>
      </c>
      <c r="D68" s="24" t="s">
        <v>792</v>
      </c>
      <c r="E68" s="24" t="s">
        <v>1085</v>
      </c>
      <c r="F68" s="24" t="s">
        <v>1087</v>
      </c>
      <c r="G68" s="24" t="s">
        <v>1089</v>
      </c>
      <c r="H68" s="24" t="s">
        <v>1092</v>
      </c>
      <c r="I68" s="24" t="s">
        <v>1095</v>
      </c>
      <c r="J68" s="24" t="s">
        <v>952</v>
      </c>
      <c r="K68" s="24" t="s">
        <v>1098</v>
      </c>
      <c r="L68" s="24" t="s">
        <v>1101</v>
      </c>
      <c r="M68" s="24" t="s">
        <v>1103</v>
      </c>
      <c r="N68" s="24" t="s">
        <v>1105</v>
      </c>
      <c r="O68" s="24" t="s">
        <v>1107</v>
      </c>
    </row>
    <row r="69" spans="1:15" x14ac:dyDescent="0.2">
      <c r="A69" s="21" t="s">
        <v>770</v>
      </c>
      <c r="B69" s="34" t="e">
        <f>CONCATE("|",C69:O69,2)</f>
        <v>#VALUE!</v>
      </c>
      <c r="C69" s="18" t="e">
        <f>sped(A69,1)</f>
        <v>#VALUE!</v>
      </c>
      <c r="D69" s="18" t="e">
        <f>sped(A69,2)</f>
        <v>#VALUE!</v>
      </c>
      <c r="E69" s="18" t="e">
        <f>sped(A69,3)</f>
        <v>#VALUE!</v>
      </c>
      <c r="F69" s="18" t="e">
        <f>sped(A69,4)</f>
        <v>#VALUE!</v>
      </c>
      <c r="G69" s="18" t="e">
        <f>sped(A69,5)</f>
        <v>#VALUE!</v>
      </c>
      <c r="H69" s="18" t="e">
        <f>sped(A69,6)</f>
        <v>#VALUE!</v>
      </c>
      <c r="I69" s="18" t="e">
        <f>sped(A69,7)</f>
        <v>#VALUE!</v>
      </c>
      <c r="J69" s="18" t="e">
        <f>sped(A69,8)</f>
        <v>#VALUE!</v>
      </c>
      <c r="K69" s="18" t="e">
        <f>sped(A69,9)</f>
        <v>#VALUE!</v>
      </c>
      <c r="L69" s="18" t="e">
        <f>sped(A69,10)</f>
        <v>#VALUE!</v>
      </c>
      <c r="M69" s="18" t="e">
        <f>sped(A69,11)</f>
        <v>#VALUE!</v>
      </c>
      <c r="N69" s="18" t="e">
        <f>sped(A69,12)</f>
        <v>#VALUE!</v>
      </c>
      <c r="O69" s="18" t="e">
        <f>sped(A69,13)</f>
        <v>#VALUE!</v>
      </c>
    </row>
    <row r="71" spans="1:15" x14ac:dyDescent="0.2">
      <c r="B71" s="48" t="s">
        <v>771</v>
      </c>
      <c r="C71" s="24">
        <v>1</v>
      </c>
      <c r="D71" s="24">
        <v>2</v>
      </c>
      <c r="E71" s="24">
        <v>3</v>
      </c>
      <c r="F71" s="24">
        <v>4</v>
      </c>
      <c r="G71" s="24">
        <v>5</v>
      </c>
      <c r="H71" s="24">
        <v>6</v>
      </c>
      <c r="I71" s="24">
        <v>7</v>
      </c>
      <c r="J71" s="24">
        <v>8</v>
      </c>
      <c r="K71" s="24">
        <v>9</v>
      </c>
      <c r="L71" s="24">
        <v>10</v>
      </c>
      <c r="M71" s="24">
        <v>11</v>
      </c>
      <c r="N71" s="24">
        <v>12</v>
      </c>
    </row>
    <row r="72" spans="1:15" x14ac:dyDescent="0.2">
      <c r="B72" s="49"/>
      <c r="C72" s="24" t="s">
        <v>781</v>
      </c>
      <c r="D72" s="24" t="s">
        <v>795</v>
      </c>
      <c r="E72" s="24" t="s">
        <v>1111</v>
      </c>
      <c r="F72" s="24" t="s">
        <v>1113</v>
      </c>
      <c r="G72" s="24" t="s">
        <v>1115</v>
      </c>
      <c r="H72" s="24" t="s">
        <v>1117</v>
      </c>
      <c r="I72" s="24" t="s">
        <v>1119</v>
      </c>
      <c r="J72" s="24" t="s">
        <v>1133</v>
      </c>
      <c r="K72" s="24" t="s">
        <v>1135</v>
      </c>
      <c r="L72" s="24" t="s">
        <v>1137</v>
      </c>
      <c r="M72" s="24" t="s">
        <v>1139</v>
      </c>
      <c r="N72" s="24" t="s">
        <v>902</v>
      </c>
    </row>
    <row r="73" spans="1:15" x14ac:dyDescent="0.2">
      <c r="A73" s="21" t="s">
        <v>771</v>
      </c>
      <c r="B73" s="34" t="e">
        <f>CONCATE("|",C73:O73,2)</f>
        <v>#VALUE!</v>
      </c>
      <c r="C73" s="18" t="e">
        <f>sped(A73,1)</f>
        <v>#VALUE!</v>
      </c>
      <c r="D73" s="18" t="e">
        <f>sped(A73,2)</f>
        <v>#VALUE!</v>
      </c>
      <c r="E73" s="18" t="e">
        <f>sped(A73,3)</f>
        <v>#VALUE!</v>
      </c>
      <c r="F73" s="18" t="e">
        <f>sped(A73,4)</f>
        <v>#VALUE!</v>
      </c>
      <c r="G73" s="18" t="e">
        <f>sped(A73,5)</f>
        <v>#VALUE!</v>
      </c>
      <c r="H73" s="18" t="e">
        <f>sped(A73,6)</f>
        <v>#VALUE!</v>
      </c>
      <c r="I73" s="18" t="e">
        <f>sped(A73,7)</f>
        <v>#VALUE!</v>
      </c>
      <c r="J73" s="18" t="e">
        <f>sped(A73,8)</f>
        <v>#VALUE!</v>
      </c>
      <c r="K73" s="18" t="e">
        <f>sped(A73,9)</f>
        <v>#VALUE!</v>
      </c>
      <c r="L73" s="18" t="e">
        <f>sped(A73,10)</f>
        <v>#VALUE!</v>
      </c>
      <c r="M73" s="18" t="e">
        <f>sped(A73,11)</f>
        <v>#VALUE!</v>
      </c>
      <c r="N73" s="18" t="e">
        <f>sped(A73,12)</f>
        <v>#VALUE!</v>
      </c>
    </row>
    <row r="77" spans="1:15" x14ac:dyDescent="0.2">
      <c r="B77" s="21">
        <v>18</v>
      </c>
      <c r="C77" s="21">
        <v>1240</v>
      </c>
      <c r="D77" s="21">
        <f>+B77*C77</f>
        <v>22320</v>
      </c>
    </row>
    <row r="78" spans="1:15" x14ac:dyDescent="0.2">
      <c r="B78" s="21">
        <v>1240</v>
      </c>
    </row>
  </sheetData>
  <mergeCells count="20">
    <mergeCell ref="B71:B72"/>
    <mergeCell ref="B39:B40"/>
    <mergeCell ref="B49:B50"/>
    <mergeCell ref="B52:B53"/>
    <mergeCell ref="B27:B28"/>
    <mergeCell ref="B35:B36"/>
    <mergeCell ref="B59:B60"/>
    <mergeCell ref="B62:B63"/>
    <mergeCell ref="B67:B68"/>
    <mergeCell ref="B46:B47"/>
    <mergeCell ref="B56:B57"/>
    <mergeCell ref="B3:B4"/>
    <mergeCell ref="B32:B33"/>
    <mergeCell ref="B42:B43"/>
    <mergeCell ref="B17:B18"/>
    <mergeCell ref="B6:B7"/>
    <mergeCell ref="B10:B11"/>
    <mergeCell ref="B20:B21"/>
    <mergeCell ref="B23:B24"/>
    <mergeCell ref="B13:B14"/>
  </mergeCells>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tabColor rgb="FF92D050"/>
  </sheetPr>
  <dimension ref="B3:H7"/>
  <sheetViews>
    <sheetView workbookViewId="0">
      <selection activeCell="D29" sqref="D29"/>
    </sheetView>
  </sheetViews>
  <sheetFormatPr defaultRowHeight="12.75" x14ac:dyDescent="0.2"/>
  <cols>
    <col min="2" max="2" width="5.28515625" style="43" bestFit="1" customWidth="1"/>
    <col min="3" max="3" width="54.7109375" style="29" customWidth="1"/>
    <col min="4" max="4" width="10" bestFit="1" customWidth="1"/>
    <col min="5" max="5" width="6.7109375" bestFit="1" customWidth="1"/>
    <col min="6" max="6" width="5.7109375" bestFit="1" customWidth="1"/>
    <col min="7" max="7" width="6" bestFit="1" customWidth="1"/>
    <col min="8" max="8" width="103.85546875" bestFit="1" customWidth="1"/>
  </cols>
  <sheetData>
    <row r="3" spans="2:8" x14ac:dyDescent="0.2">
      <c r="B3" s="43" t="s">
        <v>55</v>
      </c>
      <c r="C3" s="39" t="s">
        <v>1079</v>
      </c>
      <c r="D3" s="2">
        <f>VALUE(sped(C3,21))</f>
        <v>3.8</v>
      </c>
      <c r="E3" s="2">
        <f>E4</f>
        <v>186.1</v>
      </c>
      <c r="F3" s="2">
        <f>F4</f>
        <v>3.07</v>
      </c>
      <c r="G3" s="2">
        <f>G4</f>
        <v>14.14</v>
      </c>
      <c r="H3" s="38" t="str">
        <f>ALTSPED(ALTSPED(ALTSPED(ALTSPED(C3,15,E3),16,F3),17,E3),18,G3)</f>
        <v>|A100|1|0|C00267217676|00|||17701|FRV1MY9JT|27042020|27042020|189,90|0|0,00|186,1|3,07|186,1|14,14|0,00|0,00|3,80|</v>
      </c>
    </row>
    <row r="4" spans="2:8" x14ac:dyDescent="0.2">
      <c r="B4" s="43" t="s">
        <v>63</v>
      </c>
      <c r="C4" s="39" t="s">
        <v>1143</v>
      </c>
      <c r="D4" s="2">
        <f>D3</f>
        <v>3.8</v>
      </c>
      <c r="E4" s="2">
        <f>VALUE(sped(C4,5))-D4</f>
        <v>186.1</v>
      </c>
      <c r="F4" s="2">
        <f>ROUND(VALUE(E4*1.65%),2)</f>
        <v>3.07</v>
      </c>
      <c r="G4" s="2">
        <f>ROUND(VALUE(E4*7.6%),2)</f>
        <v>14.14</v>
      </c>
      <c r="H4" s="38" t="str">
        <f>ALTSPED(ALTSPED(ALTSPED(ALTSPED(ALTSPED(ALTSPED(ALTSPED(C4,10,E4),11,1.65),12,F4),14,E4),15,7.6),16,G4),17,2)</f>
        <v>|A170|1|S951180001||189,90|0,00|||01|186,1|1,65|3,07|01|186,1|7,6|14,14|2||</v>
      </c>
    </row>
    <row r="6" spans="2:8" x14ac:dyDescent="0.2">
      <c r="B6" s="42" t="s">
        <v>68</v>
      </c>
      <c r="C6" s="39" t="s">
        <v>1080</v>
      </c>
      <c r="D6" s="2" t="str">
        <f>sped(C6,8)</f>
        <v>000000790</v>
      </c>
      <c r="E6" s="2" t="s">
        <v>328</v>
      </c>
      <c r="F6" s="41">
        <f>SUMIFS(F7:F251,D7:D251,D6)</f>
        <v>1.57</v>
      </c>
      <c r="G6" s="2">
        <f>SUMIFS(G7:G251,D7:D251,D6)</f>
        <v>7.22</v>
      </c>
      <c r="H6" s="38" t="str">
        <f>ALTSPED(ALTSPED(C6,25,F6),26,G6)</f>
        <v>|C100|1|0|C087043396-22|55|00|001|000000790|31200410907296000182550010000007901460080401|01042020|01042020|95,00|0|0,00|0,00|95,00|9|0,00|0,00|0,00|0,00|0,00|0,00|0,00|1,57|7,22|7,22|||</v>
      </c>
    </row>
    <row r="7" spans="2:8" x14ac:dyDescent="0.2">
      <c r="B7" s="42" t="s">
        <v>75</v>
      </c>
      <c r="C7" s="39" t="s">
        <v>1081</v>
      </c>
      <c r="D7" s="2" t="str">
        <f>D6</f>
        <v>000000790</v>
      </c>
      <c r="E7" s="40">
        <f>VALUE(sped(C7,7))-VALUE(sped(C7,15))</f>
        <v>95</v>
      </c>
      <c r="F7" s="41">
        <f>ROUND(E7*1.65%,2)</f>
        <v>1.57</v>
      </c>
      <c r="G7" s="2">
        <f>ROUND(E7*7.6%,2)</f>
        <v>7.22</v>
      </c>
      <c r="H7" s="38" t="str">
        <f>ALTSPED(ALTSPED(ALTSPED(ALTSPED(ALTSPED(ALTSPED(ALTSPED(C7,37,3234),26,E7),27,1.65),30,F7),32,E7),33,7.6),36,G7)</f>
        <v>|C170|1|4629||1,000|UN|95,00|0,00|0|060|5405||0,00|0,00|0,00|0,00|0,00|0,00||||0,00|0,00|0,00|01|95|1,65|||1,57|01|95|7,6|||7,22|3234|</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tabColor rgb="FF92D050"/>
  </sheetPr>
  <dimension ref="B1:H400"/>
  <sheetViews>
    <sheetView topLeftCell="A19" workbookViewId="0">
      <selection activeCell="D29" sqref="D29"/>
    </sheetView>
  </sheetViews>
  <sheetFormatPr defaultRowHeight="12.75" x14ac:dyDescent="0.2"/>
  <cols>
    <col min="1" max="1" width="2.5703125" style="10" customWidth="1"/>
    <col min="2" max="2" width="4" style="10" bestFit="1" customWidth="1"/>
    <col min="3" max="3" width="17.7109375" style="10" bestFit="1" customWidth="1"/>
    <col min="4" max="4" width="159.42578125" style="10" bestFit="1" customWidth="1"/>
    <col min="5" max="5" width="5" style="10" bestFit="1" customWidth="1"/>
    <col min="6" max="6" width="5.5703125" style="10" bestFit="1" customWidth="1"/>
    <col min="7" max="7" width="5" style="10" bestFit="1" customWidth="1"/>
    <col min="8" max="8" width="6.5703125" style="10" bestFit="1" customWidth="1"/>
    <col min="9" max="16384" width="9.140625" style="10"/>
  </cols>
  <sheetData>
    <row r="1" spans="2:8" ht="13.5" thickBot="1" x14ac:dyDescent="0.25">
      <c r="B1" s="10" t="s">
        <v>185</v>
      </c>
    </row>
    <row r="2" spans="2:8" ht="13.5" thickBot="1" x14ac:dyDescent="0.25">
      <c r="B2" s="11" t="s">
        <v>775</v>
      </c>
      <c r="C2" s="11" t="s">
        <v>776</v>
      </c>
      <c r="D2" s="11" t="s">
        <v>31</v>
      </c>
      <c r="E2" s="11" t="s">
        <v>777</v>
      </c>
      <c r="F2" s="11" t="s">
        <v>778</v>
      </c>
      <c r="G2" s="11" t="s">
        <v>779</v>
      </c>
      <c r="H2" s="11" t="s">
        <v>780</v>
      </c>
    </row>
    <row r="3" spans="2:8" ht="13.5" thickBot="1" x14ac:dyDescent="0.25">
      <c r="B3" s="12">
        <v>1</v>
      </c>
      <c r="C3" s="13" t="s">
        <v>781</v>
      </c>
      <c r="D3" s="14" t="s">
        <v>782</v>
      </c>
      <c r="E3" s="12" t="s">
        <v>783</v>
      </c>
      <c r="F3" s="12" t="s">
        <v>784</v>
      </c>
      <c r="G3" s="12" t="s">
        <v>328</v>
      </c>
      <c r="H3" s="12" t="s">
        <v>785</v>
      </c>
    </row>
    <row r="4" spans="2:8" x14ac:dyDescent="0.2">
      <c r="B4" s="56">
        <v>2</v>
      </c>
      <c r="C4" s="59" t="s">
        <v>786</v>
      </c>
      <c r="D4" s="15" t="s">
        <v>787</v>
      </c>
      <c r="E4" s="56" t="s">
        <v>783</v>
      </c>
      <c r="F4" s="56" t="s">
        <v>791</v>
      </c>
      <c r="G4" s="56" t="s">
        <v>328</v>
      </c>
      <c r="H4" s="56" t="s">
        <v>785</v>
      </c>
    </row>
    <row r="5" spans="2:8" x14ac:dyDescent="0.2">
      <c r="B5" s="57"/>
      <c r="C5" s="60"/>
      <c r="D5" s="16" t="s">
        <v>788</v>
      </c>
      <c r="E5" s="57"/>
      <c r="F5" s="57"/>
      <c r="G5" s="57"/>
      <c r="H5" s="57"/>
    </row>
    <row r="6" spans="2:8" x14ac:dyDescent="0.2">
      <c r="B6" s="57"/>
      <c r="C6" s="60"/>
      <c r="D6" s="16" t="s">
        <v>789</v>
      </c>
      <c r="E6" s="57"/>
      <c r="F6" s="57"/>
      <c r="G6" s="57"/>
      <c r="H6" s="57"/>
    </row>
    <row r="7" spans="2:8" ht="13.5" thickBot="1" x14ac:dyDescent="0.25">
      <c r="B7" s="58"/>
      <c r="C7" s="61"/>
      <c r="D7" s="17" t="s">
        <v>790</v>
      </c>
      <c r="E7" s="58"/>
      <c r="F7" s="58"/>
      <c r="G7" s="58"/>
      <c r="H7" s="58"/>
    </row>
    <row r="8" spans="2:8" ht="13.5" thickBot="1" x14ac:dyDescent="0.25">
      <c r="B8" s="12">
        <v>3</v>
      </c>
      <c r="C8" s="13" t="s">
        <v>792</v>
      </c>
      <c r="D8" s="14" t="s">
        <v>793</v>
      </c>
      <c r="E8" s="12" t="s">
        <v>783</v>
      </c>
      <c r="F8" s="12">
        <v>60</v>
      </c>
      <c r="G8" s="12" t="s">
        <v>328</v>
      </c>
      <c r="H8" s="12" t="s">
        <v>794</v>
      </c>
    </row>
    <row r="9" spans="2:8" ht="13.5" thickBot="1" x14ac:dyDescent="0.25">
      <c r="B9" s="12">
        <v>4</v>
      </c>
      <c r="C9" s="13" t="s">
        <v>795</v>
      </c>
      <c r="D9" s="14" t="s">
        <v>796</v>
      </c>
      <c r="E9" s="12" t="s">
        <v>783</v>
      </c>
      <c r="F9" s="12">
        <v>60</v>
      </c>
      <c r="G9" s="12" t="s">
        <v>328</v>
      </c>
      <c r="H9" s="12" t="s">
        <v>794</v>
      </c>
    </row>
    <row r="10" spans="2:8" ht="13.5" thickBot="1" x14ac:dyDescent="0.25">
      <c r="B10" s="12">
        <v>5</v>
      </c>
      <c r="C10" s="13" t="s">
        <v>797</v>
      </c>
      <c r="D10" s="13" t="s">
        <v>798</v>
      </c>
      <c r="E10" s="12" t="s">
        <v>794</v>
      </c>
      <c r="F10" s="12" t="s">
        <v>799</v>
      </c>
      <c r="G10" s="12" t="s">
        <v>328</v>
      </c>
      <c r="H10" s="12" t="s">
        <v>785</v>
      </c>
    </row>
    <row r="11" spans="2:8" ht="13.5" thickBot="1" x14ac:dyDescent="0.25">
      <c r="B11" s="12">
        <v>6</v>
      </c>
      <c r="C11" s="13" t="s">
        <v>800</v>
      </c>
      <c r="D11" s="13" t="s">
        <v>801</v>
      </c>
      <c r="E11" s="12" t="s">
        <v>794</v>
      </c>
      <c r="F11" s="12" t="s">
        <v>328</v>
      </c>
      <c r="G11" s="12">
        <v>2</v>
      </c>
      <c r="H11" s="12" t="s">
        <v>785</v>
      </c>
    </row>
    <row r="12" spans="2:8" ht="13.5" thickBot="1" x14ac:dyDescent="0.25">
      <c r="B12" s="12">
        <v>7</v>
      </c>
      <c r="C12" s="13" t="s">
        <v>802</v>
      </c>
      <c r="D12" s="13" t="s">
        <v>803</v>
      </c>
      <c r="E12" s="12" t="s">
        <v>794</v>
      </c>
      <c r="F12" s="12" t="s">
        <v>804</v>
      </c>
      <c r="G12" s="12" t="s">
        <v>328</v>
      </c>
      <c r="H12" s="12" t="s">
        <v>785</v>
      </c>
    </row>
    <row r="13" spans="2:8" ht="13.5" thickBot="1" x14ac:dyDescent="0.25">
      <c r="B13" s="12">
        <v>8</v>
      </c>
      <c r="C13" s="13" t="s">
        <v>805</v>
      </c>
      <c r="D13" s="13" t="s">
        <v>806</v>
      </c>
      <c r="E13" s="12" t="s">
        <v>794</v>
      </c>
      <c r="F13" s="12" t="s">
        <v>328</v>
      </c>
      <c r="G13" s="12">
        <v>4</v>
      </c>
      <c r="H13" s="12" t="s">
        <v>794</v>
      </c>
    </row>
    <row r="14" spans="2:8" ht="13.5" thickBot="1" x14ac:dyDescent="0.25">
      <c r="B14" s="12">
        <v>9</v>
      </c>
      <c r="C14" s="13" t="s">
        <v>807</v>
      </c>
      <c r="D14" s="13" t="s">
        <v>808</v>
      </c>
      <c r="E14" s="12" t="s">
        <v>794</v>
      </c>
      <c r="F14" s="12">
        <v>8</v>
      </c>
      <c r="G14" s="12">
        <v>4</v>
      </c>
      <c r="H14" s="12" t="s">
        <v>794</v>
      </c>
    </row>
    <row r="15" spans="2:8" ht="13.5" thickBot="1" x14ac:dyDescent="0.25">
      <c r="B15" s="12">
        <v>10</v>
      </c>
      <c r="C15" s="13" t="s">
        <v>809</v>
      </c>
      <c r="D15" s="13" t="s">
        <v>810</v>
      </c>
      <c r="E15" s="12" t="s">
        <v>794</v>
      </c>
      <c r="F15" s="12" t="s">
        <v>328</v>
      </c>
      <c r="G15" s="12">
        <v>2</v>
      </c>
      <c r="H15" s="12" t="s">
        <v>794</v>
      </c>
    </row>
    <row r="16" spans="2:8" ht="13.5" thickBot="1" x14ac:dyDescent="0.25">
      <c r="B16" s="12">
        <v>11</v>
      </c>
      <c r="C16" s="13" t="s">
        <v>811</v>
      </c>
      <c r="D16" s="13" t="s">
        <v>812</v>
      </c>
      <c r="E16" s="12" t="s">
        <v>794</v>
      </c>
      <c r="F16" s="12" t="s">
        <v>804</v>
      </c>
      <c r="G16" s="12" t="s">
        <v>328</v>
      </c>
      <c r="H16" s="12" t="s">
        <v>785</v>
      </c>
    </row>
    <row r="17" spans="2:8" ht="13.5" thickBot="1" x14ac:dyDescent="0.25">
      <c r="B17" s="12">
        <v>12</v>
      </c>
      <c r="C17" s="13" t="s">
        <v>813</v>
      </c>
      <c r="D17" s="13" t="s">
        <v>814</v>
      </c>
      <c r="E17" s="12" t="s">
        <v>794</v>
      </c>
      <c r="F17" s="12" t="s">
        <v>328</v>
      </c>
      <c r="G17" s="12">
        <v>4</v>
      </c>
      <c r="H17" s="12" t="s">
        <v>794</v>
      </c>
    </row>
    <row r="18" spans="2:8" ht="13.5" thickBot="1" x14ac:dyDescent="0.25">
      <c r="B18" s="12">
        <v>13</v>
      </c>
      <c r="C18" s="13" t="s">
        <v>815</v>
      </c>
      <c r="D18" s="13" t="s">
        <v>816</v>
      </c>
      <c r="E18" s="12" t="s">
        <v>794</v>
      </c>
      <c r="F18" s="12">
        <v>8</v>
      </c>
      <c r="G18" s="12">
        <v>4</v>
      </c>
      <c r="H18" s="12" t="s">
        <v>794</v>
      </c>
    </row>
    <row r="19" spans="2:8" ht="13.5" thickBot="1" x14ac:dyDescent="0.25">
      <c r="B19" s="12">
        <v>14</v>
      </c>
      <c r="C19" s="13" t="s">
        <v>817</v>
      </c>
      <c r="D19" s="13" t="s">
        <v>818</v>
      </c>
      <c r="E19" s="12" t="s">
        <v>794</v>
      </c>
      <c r="F19" s="12" t="s">
        <v>328</v>
      </c>
      <c r="G19" s="12">
        <v>2</v>
      </c>
      <c r="H19" s="12" t="s">
        <v>794</v>
      </c>
    </row>
    <row r="20" spans="2:8" ht="13.5" thickBot="1" x14ac:dyDescent="0.25">
      <c r="B20" s="12">
        <v>15</v>
      </c>
      <c r="C20" s="13" t="s">
        <v>819</v>
      </c>
      <c r="D20" s="13" t="s">
        <v>820</v>
      </c>
      <c r="E20" s="12" t="s">
        <v>783</v>
      </c>
      <c r="F20" s="12" t="s">
        <v>804</v>
      </c>
      <c r="G20" s="12" t="s">
        <v>328</v>
      </c>
      <c r="H20" s="12" t="s">
        <v>794</v>
      </c>
    </row>
    <row r="21" spans="2:8" x14ac:dyDescent="0.2">
      <c r="B21" s="56">
        <v>16</v>
      </c>
      <c r="C21" s="59" t="s">
        <v>821</v>
      </c>
      <c r="D21" s="15" t="s">
        <v>822</v>
      </c>
      <c r="E21" s="56" t="s">
        <v>783</v>
      </c>
      <c r="F21" s="56" t="s">
        <v>791</v>
      </c>
      <c r="G21" s="56" t="s">
        <v>328</v>
      </c>
      <c r="H21" s="56" t="s">
        <v>794</v>
      </c>
    </row>
    <row r="22" spans="2:8" x14ac:dyDescent="0.2">
      <c r="B22" s="57"/>
      <c r="C22" s="60"/>
      <c r="D22" s="16" t="s">
        <v>823</v>
      </c>
      <c r="E22" s="57"/>
      <c r="F22" s="57"/>
      <c r="G22" s="57"/>
      <c r="H22" s="57"/>
    </row>
    <row r="23" spans="2:8" ht="13.5" thickBot="1" x14ac:dyDescent="0.25">
      <c r="B23" s="58"/>
      <c r="C23" s="61"/>
      <c r="D23" s="17" t="s">
        <v>824</v>
      </c>
      <c r="E23" s="58"/>
      <c r="F23" s="58"/>
      <c r="G23" s="58"/>
      <c r="H23" s="58"/>
    </row>
    <row r="24" spans="2:8" ht="13.5" thickBot="1" x14ac:dyDescent="0.25">
      <c r="B24" s="12">
        <v>17</v>
      </c>
      <c r="C24" s="13" t="s">
        <v>825</v>
      </c>
      <c r="D24" s="13" t="s">
        <v>826</v>
      </c>
      <c r="E24" s="12" t="s">
        <v>783</v>
      </c>
      <c r="F24" s="12">
        <v>255</v>
      </c>
      <c r="G24" s="12" t="s">
        <v>328</v>
      </c>
      <c r="H24" s="12" t="s">
        <v>794</v>
      </c>
    </row>
    <row r="25" spans="2:8" ht="13.5" thickBot="1" x14ac:dyDescent="0.25">
      <c r="B25" s="12">
        <v>18</v>
      </c>
      <c r="C25" s="13" t="s">
        <v>827</v>
      </c>
      <c r="D25" s="13" t="s">
        <v>828</v>
      </c>
      <c r="E25" s="12" t="s">
        <v>783</v>
      </c>
      <c r="F25" s="12">
        <v>255</v>
      </c>
      <c r="G25" s="12" t="s">
        <v>328</v>
      </c>
      <c r="H25" s="12" t="s">
        <v>794</v>
      </c>
    </row>
    <row r="26" spans="2:8" ht="13.5" thickBot="1" x14ac:dyDescent="0.25">
      <c r="B26" s="12">
        <v>19</v>
      </c>
      <c r="C26" s="13" t="s">
        <v>829</v>
      </c>
      <c r="D26" s="13" t="s">
        <v>830</v>
      </c>
      <c r="E26" s="12" t="s">
        <v>783</v>
      </c>
      <c r="F26" s="12" t="s">
        <v>328</v>
      </c>
      <c r="G26" s="12" t="s">
        <v>328</v>
      </c>
      <c r="H26" s="12" t="s">
        <v>794</v>
      </c>
    </row>
    <row r="28" spans="2:8" ht="13.5" thickBot="1" x14ac:dyDescent="0.25">
      <c r="B28" s="10" t="s">
        <v>55</v>
      </c>
    </row>
    <row r="29" spans="2:8" ht="13.5" thickBot="1" x14ac:dyDescent="0.25">
      <c r="B29" s="11" t="s">
        <v>775</v>
      </c>
      <c r="C29" s="11" t="s">
        <v>776</v>
      </c>
      <c r="D29" s="11" t="s">
        <v>31</v>
      </c>
      <c r="E29" s="11" t="s">
        <v>777</v>
      </c>
      <c r="F29" s="11" t="s">
        <v>778</v>
      </c>
      <c r="G29" s="11" t="s">
        <v>779</v>
      </c>
      <c r="H29" s="11" t="s">
        <v>780</v>
      </c>
    </row>
    <row r="30" spans="2:8" ht="13.5" thickBot="1" x14ac:dyDescent="0.25">
      <c r="B30" s="12">
        <v>1</v>
      </c>
      <c r="C30" s="13" t="s">
        <v>781</v>
      </c>
      <c r="D30" s="14" t="s">
        <v>831</v>
      </c>
      <c r="E30" s="12" t="s">
        <v>783</v>
      </c>
      <c r="F30" s="12" t="s">
        <v>784</v>
      </c>
      <c r="G30" s="12" t="s">
        <v>328</v>
      </c>
      <c r="H30" s="12" t="s">
        <v>785</v>
      </c>
    </row>
    <row r="31" spans="2:8" x14ac:dyDescent="0.2">
      <c r="B31" s="56">
        <v>2</v>
      </c>
      <c r="C31" s="59" t="s">
        <v>786</v>
      </c>
      <c r="D31" s="15" t="s">
        <v>832</v>
      </c>
      <c r="E31" s="56" t="s">
        <v>783</v>
      </c>
      <c r="F31" s="56" t="s">
        <v>791</v>
      </c>
      <c r="G31" s="56" t="s">
        <v>328</v>
      </c>
      <c r="H31" s="56" t="s">
        <v>785</v>
      </c>
    </row>
    <row r="32" spans="2:8" x14ac:dyDescent="0.2">
      <c r="B32" s="57"/>
      <c r="C32" s="60"/>
      <c r="D32" s="16" t="s">
        <v>833</v>
      </c>
      <c r="E32" s="57"/>
      <c r="F32" s="57"/>
      <c r="G32" s="57"/>
      <c r="H32" s="57"/>
    </row>
    <row r="33" spans="2:8" ht="13.5" thickBot="1" x14ac:dyDescent="0.25">
      <c r="B33" s="58"/>
      <c r="C33" s="61"/>
      <c r="D33" s="17" t="s">
        <v>834</v>
      </c>
      <c r="E33" s="58"/>
      <c r="F33" s="58"/>
      <c r="G33" s="58"/>
      <c r="H33" s="58"/>
    </row>
    <row r="34" spans="2:8" x14ac:dyDescent="0.2">
      <c r="B34" s="56">
        <v>3</v>
      </c>
      <c r="C34" s="59" t="s">
        <v>835</v>
      </c>
      <c r="D34" s="15" t="s">
        <v>836</v>
      </c>
      <c r="E34" s="56" t="s">
        <v>783</v>
      </c>
      <c r="F34" s="56" t="s">
        <v>791</v>
      </c>
      <c r="G34" s="56" t="s">
        <v>328</v>
      </c>
      <c r="H34" s="56" t="s">
        <v>785</v>
      </c>
    </row>
    <row r="35" spans="2:8" x14ac:dyDescent="0.2">
      <c r="B35" s="57"/>
      <c r="C35" s="60"/>
      <c r="D35" s="16" t="s">
        <v>837</v>
      </c>
      <c r="E35" s="57"/>
      <c r="F35" s="57"/>
      <c r="G35" s="57"/>
      <c r="H35" s="57"/>
    </row>
    <row r="36" spans="2:8" ht="13.5" thickBot="1" x14ac:dyDescent="0.25">
      <c r="B36" s="58"/>
      <c r="C36" s="61"/>
      <c r="D36" s="17" t="s">
        <v>838</v>
      </c>
      <c r="E36" s="58"/>
      <c r="F36" s="58"/>
      <c r="G36" s="58"/>
      <c r="H36" s="58"/>
    </row>
    <row r="37" spans="2:8" x14ac:dyDescent="0.2">
      <c r="B37" s="56">
        <v>4</v>
      </c>
      <c r="C37" s="59" t="s">
        <v>792</v>
      </c>
      <c r="D37" s="20" t="s">
        <v>839</v>
      </c>
      <c r="E37" s="56" t="s">
        <v>783</v>
      </c>
      <c r="F37" s="56">
        <v>60</v>
      </c>
      <c r="G37" s="56" t="s">
        <v>328</v>
      </c>
      <c r="H37" s="56" t="s">
        <v>794</v>
      </c>
    </row>
    <row r="38" spans="2:8" x14ac:dyDescent="0.2">
      <c r="B38" s="57"/>
      <c r="C38" s="60"/>
      <c r="D38" s="16" t="s">
        <v>840</v>
      </c>
      <c r="E38" s="57"/>
      <c r="F38" s="57"/>
      <c r="G38" s="57"/>
      <c r="H38" s="57"/>
    </row>
    <row r="39" spans="2:8" ht="13.5" thickBot="1" x14ac:dyDescent="0.25">
      <c r="B39" s="58"/>
      <c r="C39" s="61"/>
      <c r="D39" s="17" t="s">
        <v>841</v>
      </c>
      <c r="E39" s="58"/>
      <c r="F39" s="58"/>
      <c r="G39" s="58"/>
      <c r="H39" s="58"/>
    </row>
    <row r="40" spans="2:8" x14ac:dyDescent="0.2">
      <c r="B40" s="56">
        <v>5</v>
      </c>
      <c r="C40" s="59" t="s">
        <v>842</v>
      </c>
      <c r="D40" s="15" t="s">
        <v>843</v>
      </c>
      <c r="E40" s="56" t="s">
        <v>794</v>
      </c>
      <c r="F40" s="56" t="s">
        <v>804</v>
      </c>
      <c r="G40" s="56" t="s">
        <v>328</v>
      </c>
      <c r="H40" s="56" t="s">
        <v>785</v>
      </c>
    </row>
    <row r="41" spans="2:8" x14ac:dyDescent="0.2">
      <c r="B41" s="57"/>
      <c r="C41" s="60"/>
      <c r="D41" s="16" t="s">
        <v>844</v>
      </c>
      <c r="E41" s="57"/>
      <c r="F41" s="57"/>
      <c r="G41" s="57"/>
      <c r="H41" s="57"/>
    </row>
    <row r="42" spans="2:8" ht="13.5" thickBot="1" x14ac:dyDescent="0.25">
      <c r="B42" s="58"/>
      <c r="C42" s="61"/>
      <c r="D42" s="17" t="s">
        <v>845</v>
      </c>
      <c r="E42" s="58"/>
      <c r="F42" s="58"/>
      <c r="G42" s="58"/>
      <c r="H42" s="58"/>
    </row>
    <row r="43" spans="2:8" ht="13.5" thickBot="1" x14ac:dyDescent="0.25">
      <c r="B43" s="12">
        <v>6</v>
      </c>
      <c r="C43" s="13" t="s">
        <v>846</v>
      </c>
      <c r="D43" s="13" t="s">
        <v>847</v>
      </c>
      <c r="E43" s="12" t="s">
        <v>783</v>
      </c>
      <c r="F43" s="12">
        <v>20</v>
      </c>
      <c r="G43" s="12" t="s">
        <v>328</v>
      </c>
      <c r="H43" s="12" t="s">
        <v>794</v>
      </c>
    </row>
    <row r="44" spans="2:8" ht="13.5" thickBot="1" x14ac:dyDescent="0.25">
      <c r="B44" s="12">
        <v>7</v>
      </c>
      <c r="C44" s="13" t="s">
        <v>848</v>
      </c>
      <c r="D44" s="13" t="s">
        <v>849</v>
      </c>
      <c r="E44" s="12" t="s">
        <v>783</v>
      </c>
      <c r="F44" s="12">
        <v>20</v>
      </c>
      <c r="G44" s="12" t="s">
        <v>328</v>
      </c>
      <c r="H44" s="12" t="s">
        <v>794</v>
      </c>
    </row>
    <row r="45" spans="2:8" ht="13.5" thickBot="1" x14ac:dyDescent="0.25">
      <c r="B45" s="12">
        <v>8</v>
      </c>
      <c r="C45" s="13" t="s">
        <v>850</v>
      </c>
      <c r="D45" s="13" t="s">
        <v>851</v>
      </c>
      <c r="E45" s="12" t="s">
        <v>783</v>
      </c>
      <c r="F45" s="12">
        <v>60</v>
      </c>
      <c r="G45" s="12" t="s">
        <v>328</v>
      </c>
      <c r="H45" s="12" t="s">
        <v>785</v>
      </c>
    </row>
    <row r="46" spans="2:8" ht="13.5" thickBot="1" x14ac:dyDescent="0.25">
      <c r="B46" s="12">
        <v>9</v>
      </c>
      <c r="C46" s="13" t="s">
        <v>852</v>
      </c>
      <c r="D46" s="13" t="s">
        <v>853</v>
      </c>
      <c r="E46" s="12" t="s">
        <v>783</v>
      </c>
      <c r="F46" s="12">
        <v>60</v>
      </c>
      <c r="G46" s="12" t="s">
        <v>328</v>
      </c>
      <c r="H46" s="12" t="s">
        <v>794</v>
      </c>
    </row>
    <row r="47" spans="2:8" ht="13.5" thickBot="1" x14ac:dyDescent="0.25">
      <c r="B47" s="12">
        <v>10</v>
      </c>
      <c r="C47" s="13" t="s">
        <v>854</v>
      </c>
      <c r="D47" s="13" t="s">
        <v>855</v>
      </c>
      <c r="E47" s="12" t="s">
        <v>794</v>
      </c>
      <c r="F47" s="12" t="s">
        <v>799</v>
      </c>
      <c r="G47" s="12" t="s">
        <v>328</v>
      </c>
      <c r="H47" s="12" t="s">
        <v>785</v>
      </c>
    </row>
    <row r="48" spans="2:8" ht="13.5" thickBot="1" x14ac:dyDescent="0.25">
      <c r="B48" s="12">
        <v>11</v>
      </c>
      <c r="C48" s="13" t="s">
        <v>856</v>
      </c>
      <c r="D48" s="13" t="s">
        <v>857</v>
      </c>
      <c r="E48" s="12" t="s">
        <v>794</v>
      </c>
      <c r="F48" s="12" t="s">
        <v>799</v>
      </c>
      <c r="G48" s="12" t="s">
        <v>328</v>
      </c>
      <c r="H48" s="12" t="s">
        <v>794</v>
      </c>
    </row>
    <row r="49" spans="2:8" ht="13.5" thickBot="1" x14ac:dyDescent="0.25">
      <c r="B49" s="12">
        <v>12</v>
      </c>
      <c r="C49" s="13" t="s">
        <v>858</v>
      </c>
      <c r="D49" s="13" t="s">
        <v>859</v>
      </c>
      <c r="E49" s="12" t="s">
        <v>794</v>
      </c>
      <c r="F49" s="12" t="s">
        <v>328</v>
      </c>
      <c r="G49" s="12">
        <v>2</v>
      </c>
      <c r="H49" s="12" t="s">
        <v>785</v>
      </c>
    </row>
    <row r="50" spans="2:8" x14ac:dyDescent="0.2">
      <c r="B50" s="56">
        <v>13</v>
      </c>
      <c r="C50" s="59" t="s">
        <v>860</v>
      </c>
      <c r="D50" s="15" t="s">
        <v>861</v>
      </c>
      <c r="E50" s="56" t="s">
        <v>783</v>
      </c>
      <c r="F50" s="56" t="s">
        <v>791</v>
      </c>
      <c r="G50" s="56" t="s">
        <v>328</v>
      </c>
      <c r="H50" s="56" t="s">
        <v>785</v>
      </c>
    </row>
    <row r="51" spans="2:8" x14ac:dyDescent="0.2">
      <c r="B51" s="57"/>
      <c r="C51" s="60"/>
      <c r="D51" s="16" t="s">
        <v>862</v>
      </c>
      <c r="E51" s="57"/>
      <c r="F51" s="57"/>
      <c r="G51" s="57"/>
      <c r="H51" s="57"/>
    </row>
    <row r="52" spans="2:8" x14ac:dyDescent="0.2">
      <c r="B52" s="57"/>
      <c r="C52" s="60"/>
      <c r="D52" s="16" t="s">
        <v>863</v>
      </c>
      <c r="E52" s="57"/>
      <c r="F52" s="57"/>
      <c r="G52" s="57"/>
      <c r="H52" s="57"/>
    </row>
    <row r="53" spans="2:8" ht="13.5" thickBot="1" x14ac:dyDescent="0.25">
      <c r="B53" s="58"/>
      <c r="C53" s="61"/>
      <c r="D53" s="17" t="s">
        <v>864</v>
      </c>
      <c r="E53" s="58"/>
      <c r="F53" s="58"/>
      <c r="G53" s="58"/>
      <c r="H53" s="58"/>
    </row>
    <row r="54" spans="2:8" ht="13.5" thickBot="1" x14ac:dyDescent="0.25">
      <c r="B54" s="12">
        <v>14</v>
      </c>
      <c r="C54" s="13" t="s">
        <v>865</v>
      </c>
      <c r="D54" s="13" t="s">
        <v>866</v>
      </c>
      <c r="E54" s="12" t="s">
        <v>794</v>
      </c>
      <c r="F54" s="12" t="s">
        <v>328</v>
      </c>
      <c r="G54" s="12">
        <v>2</v>
      </c>
      <c r="H54" s="12" t="s">
        <v>794</v>
      </c>
    </row>
    <row r="55" spans="2:8" ht="13.5" thickBot="1" x14ac:dyDescent="0.25">
      <c r="B55" s="12">
        <v>15</v>
      </c>
      <c r="C55" s="13" t="s">
        <v>805</v>
      </c>
      <c r="D55" s="13" t="s">
        <v>867</v>
      </c>
      <c r="E55" s="12" t="s">
        <v>794</v>
      </c>
      <c r="F55" s="12" t="s">
        <v>328</v>
      </c>
      <c r="G55" s="12">
        <v>2</v>
      </c>
      <c r="H55" s="12" t="s">
        <v>785</v>
      </c>
    </row>
    <row r="56" spans="2:8" ht="13.5" thickBot="1" x14ac:dyDescent="0.25">
      <c r="B56" s="12">
        <v>16</v>
      </c>
      <c r="C56" s="13" t="s">
        <v>809</v>
      </c>
      <c r="D56" s="13" t="s">
        <v>868</v>
      </c>
      <c r="E56" s="12" t="s">
        <v>794</v>
      </c>
      <c r="F56" s="12" t="s">
        <v>328</v>
      </c>
      <c r="G56" s="12">
        <v>2</v>
      </c>
      <c r="H56" s="12" t="s">
        <v>785</v>
      </c>
    </row>
    <row r="57" spans="2:8" ht="13.5" thickBot="1" x14ac:dyDescent="0.25">
      <c r="B57" s="12">
        <v>17</v>
      </c>
      <c r="C57" s="13" t="s">
        <v>813</v>
      </c>
      <c r="D57" s="13" t="s">
        <v>869</v>
      </c>
      <c r="E57" s="12" t="s">
        <v>794</v>
      </c>
      <c r="F57" s="12" t="s">
        <v>328</v>
      </c>
      <c r="G57" s="12">
        <v>2</v>
      </c>
      <c r="H57" s="12" t="s">
        <v>785</v>
      </c>
    </row>
    <row r="58" spans="2:8" ht="13.5" thickBot="1" x14ac:dyDescent="0.25">
      <c r="B58" s="12">
        <v>18</v>
      </c>
      <c r="C58" s="13" t="s">
        <v>817</v>
      </c>
      <c r="D58" s="13" t="s">
        <v>870</v>
      </c>
      <c r="E58" s="12" t="s">
        <v>794</v>
      </c>
      <c r="F58" s="12" t="s">
        <v>328</v>
      </c>
      <c r="G58" s="12">
        <v>2</v>
      </c>
      <c r="H58" s="12" t="s">
        <v>785</v>
      </c>
    </row>
    <row r="59" spans="2:8" ht="13.5" thickBot="1" x14ac:dyDescent="0.25">
      <c r="B59" s="12">
        <v>19</v>
      </c>
      <c r="C59" s="13" t="s">
        <v>871</v>
      </c>
      <c r="D59" s="13" t="s">
        <v>872</v>
      </c>
      <c r="E59" s="12" t="s">
        <v>794</v>
      </c>
      <c r="F59" s="12" t="s">
        <v>328</v>
      </c>
      <c r="G59" s="12">
        <v>2</v>
      </c>
      <c r="H59" s="12" t="s">
        <v>794</v>
      </c>
    </row>
    <row r="60" spans="2:8" ht="13.5" thickBot="1" x14ac:dyDescent="0.25">
      <c r="B60" s="12">
        <v>20</v>
      </c>
      <c r="C60" s="13" t="s">
        <v>873</v>
      </c>
      <c r="D60" s="13" t="s">
        <v>874</v>
      </c>
      <c r="E60" s="12" t="s">
        <v>794</v>
      </c>
      <c r="F60" s="12" t="s">
        <v>328</v>
      </c>
      <c r="G60" s="12">
        <v>2</v>
      </c>
      <c r="H60" s="12" t="s">
        <v>794</v>
      </c>
    </row>
    <row r="61" spans="2:8" ht="13.5" thickBot="1" x14ac:dyDescent="0.25">
      <c r="B61" s="12">
        <v>21</v>
      </c>
      <c r="C61" s="13" t="s">
        <v>875</v>
      </c>
      <c r="D61" s="13" t="s">
        <v>876</v>
      </c>
      <c r="E61" s="12" t="s">
        <v>794</v>
      </c>
      <c r="F61" s="12" t="s">
        <v>328</v>
      </c>
      <c r="G61" s="12">
        <v>2</v>
      </c>
      <c r="H61" s="12" t="s">
        <v>794</v>
      </c>
    </row>
    <row r="63" spans="2:8" ht="13.5" thickBot="1" x14ac:dyDescent="0.25">
      <c r="B63" s="10" t="s">
        <v>938</v>
      </c>
    </row>
    <row r="64" spans="2:8" ht="13.5" thickBot="1" x14ac:dyDescent="0.25">
      <c r="B64" s="3" t="s">
        <v>775</v>
      </c>
      <c r="C64" s="3" t="s">
        <v>776</v>
      </c>
      <c r="D64" s="3" t="s">
        <v>31</v>
      </c>
      <c r="E64" s="3" t="s">
        <v>777</v>
      </c>
      <c r="F64" s="3" t="s">
        <v>778</v>
      </c>
      <c r="G64" s="3" t="s">
        <v>779</v>
      </c>
      <c r="H64" s="3" t="s">
        <v>780</v>
      </c>
    </row>
    <row r="65" spans="2:8" ht="13.5" thickBot="1" x14ac:dyDescent="0.25">
      <c r="B65" s="4">
        <v>1</v>
      </c>
      <c r="C65" s="5" t="s">
        <v>781</v>
      </c>
      <c r="D65" s="6" t="s">
        <v>877</v>
      </c>
      <c r="E65" s="4" t="s">
        <v>783</v>
      </c>
      <c r="F65" s="4">
        <v>4</v>
      </c>
      <c r="G65" s="4" t="s">
        <v>328</v>
      </c>
      <c r="H65" s="4" t="s">
        <v>785</v>
      </c>
    </row>
    <row r="66" spans="2:8" ht="13.5" thickBot="1" x14ac:dyDescent="0.25">
      <c r="B66" s="4">
        <v>2</v>
      </c>
      <c r="C66" s="5" t="s">
        <v>878</v>
      </c>
      <c r="D66" s="5" t="s">
        <v>879</v>
      </c>
      <c r="E66" s="4" t="s">
        <v>794</v>
      </c>
      <c r="F66" s="4">
        <v>3</v>
      </c>
      <c r="G66" s="4" t="s">
        <v>328</v>
      </c>
      <c r="H66" s="4" t="s">
        <v>785</v>
      </c>
    </row>
    <row r="67" spans="2:8" ht="13.5" thickBot="1" x14ac:dyDescent="0.25">
      <c r="B67" s="4">
        <v>3</v>
      </c>
      <c r="C67" s="5" t="s">
        <v>795</v>
      </c>
      <c r="D67" s="6" t="s">
        <v>796</v>
      </c>
      <c r="E67" s="4" t="s">
        <v>783</v>
      </c>
      <c r="F67" s="4">
        <v>60</v>
      </c>
      <c r="G67" s="4" t="s">
        <v>328</v>
      </c>
      <c r="H67" s="4" t="s">
        <v>785</v>
      </c>
    </row>
    <row r="68" spans="2:8" ht="13.5" thickBot="1" x14ac:dyDescent="0.25">
      <c r="B68" s="4">
        <v>4</v>
      </c>
      <c r="C68" s="5" t="s">
        <v>880</v>
      </c>
      <c r="D68" s="5" t="s">
        <v>881</v>
      </c>
      <c r="E68" s="4" t="s">
        <v>783</v>
      </c>
      <c r="F68" s="4" t="s">
        <v>328</v>
      </c>
      <c r="G68" s="4" t="s">
        <v>328</v>
      </c>
      <c r="H68" s="4" t="s">
        <v>794</v>
      </c>
    </row>
    <row r="69" spans="2:8" ht="13.5" thickBot="1" x14ac:dyDescent="0.25">
      <c r="B69" s="4">
        <v>5</v>
      </c>
      <c r="C69" s="5" t="s">
        <v>882</v>
      </c>
      <c r="D69" s="5" t="s">
        <v>883</v>
      </c>
      <c r="E69" s="4" t="s">
        <v>794</v>
      </c>
      <c r="F69" s="4" t="s">
        <v>328</v>
      </c>
      <c r="G69" s="4">
        <v>5</v>
      </c>
      <c r="H69" s="4" t="s">
        <v>794</v>
      </c>
    </row>
    <row r="70" spans="2:8" ht="13.5" thickBot="1" x14ac:dyDescent="0.25">
      <c r="B70" s="4">
        <v>6</v>
      </c>
      <c r="C70" s="5" t="s">
        <v>884</v>
      </c>
      <c r="D70" s="6" t="s">
        <v>885</v>
      </c>
      <c r="E70" s="4" t="s">
        <v>783</v>
      </c>
      <c r="F70" s="4">
        <v>6</v>
      </c>
      <c r="G70" s="4" t="s">
        <v>328</v>
      </c>
      <c r="H70" s="4" t="s">
        <v>794</v>
      </c>
    </row>
    <row r="71" spans="2:8" ht="13.5" thickBot="1" x14ac:dyDescent="0.25">
      <c r="B71" s="4">
        <v>7</v>
      </c>
      <c r="C71" s="5" t="s">
        <v>886</v>
      </c>
      <c r="D71" s="5" t="s">
        <v>887</v>
      </c>
      <c r="E71" s="4" t="s">
        <v>794</v>
      </c>
      <c r="F71" s="4" t="s">
        <v>328</v>
      </c>
      <c r="G71" s="4">
        <v>2</v>
      </c>
      <c r="H71" s="4" t="s">
        <v>785</v>
      </c>
    </row>
    <row r="72" spans="2:8" ht="13.5" thickBot="1" x14ac:dyDescent="0.25">
      <c r="B72" s="4">
        <v>8</v>
      </c>
      <c r="C72" s="5" t="s">
        <v>865</v>
      </c>
      <c r="D72" s="5" t="s">
        <v>888</v>
      </c>
      <c r="E72" s="4" t="s">
        <v>794</v>
      </c>
      <c r="F72" s="4" t="s">
        <v>328</v>
      </c>
      <c r="G72" s="4">
        <v>2</v>
      </c>
      <c r="H72" s="4" t="s">
        <v>794</v>
      </c>
    </row>
    <row r="73" spans="2:8" x14ac:dyDescent="0.2">
      <c r="B73" s="50">
        <v>9</v>
      </c>
      <c r="C73" s="53" t="s">
        <v>889</v>
      </c>
      <c r="D73" s="7" t="s">
        <v>890</v>
      </c>
      <c r="E73" s="50" t="s">
        <v>783</v>
      </c>
      <c r="F73" s="50">
        <v>1</v>
      </c>
      <c r="G73" s="50" t="s">
        <v>328</v>
      </c>
      <c r="H73" s="50" t="s">
        <v>794</v>
      </c>
    </row>
    <row r="74" spans="2:8" x14ac:dyDescent="0.2">
      <c r="B74" s="51"/>
      <c r="C74" s="54"/>
      <c r="D74" s="8" t="s">
        <v>891</v>
      </c>
      <c r="E74" s="51"/>
      <c r="F74" s="51"/>
      <c r="G74" s="51"/>
      <c r="H74" s="51"/>
    </row>
    <row r="75" spans="2:8" ht="13.5" thickBot="1" x14ac:dyDescent="0.25">
      <c r="B75" s="52"/>
      <c r="C75" s="55"/>
      <c r="D75" s="9" t="s">
        <v>892</v>
      </c>
      <c r="E75" s="52"/>
      <c r="F75" s="52"/>
      <c r="G75" s="52"/>
      <c r="H75" s="52"/>
    </row>
    <row r="76" spans="2:8" ht="13.5" thickBot="1" x14ac:dyDescent="0.25">
      <c r="B76" s="4">
        <v>10</v>
      </c>
      <c r="C76" s="5" t="s">
        <v>893</v>
      </c>
      <c r="D76" s="5" t="s">
        <v>894</v>
      </c>
      <c r="E76" s="4" t="s">
        <v>794</v>
      </c>
      <c r="F76" s="4" t="s">
        <v>895</v>
      </c>
      <c r="G76" s="4" t="s">
        <v>328</v>
      </c>
      <c r="H76" s="4" t="s">
        <v>794</v>
      </c>
    </row>
    <row r="77" spans="2:8" ht="13.5" thickBot="1" x14ac:dyDescent="0.25">
      <c r="B77" s="4">
        <v>11</v>
      </c>
      <c r="C77" s="5" t="s">
        <v>896</v>
      </c>
      <c r="D77" s="5" t="s">
        <v>897</v>
      </c>
      <c r="E77" s="4" t="s">
        <v>794</v>
      </c>
      <c r="F77" s="4" t="s">
        <v>784</v>
      </c>
      <c r="G77" s="4" t="s">
        <v>328</v>
      </c>
      <c r="H77" s="4" t="s">
        <v>785</v>
      </c>
    </row>
    <row r="78" spans="2:8" ht="13.5" thickBot="1" x14ac:dyDescent="0.25">
      <c r="B78" s="4">
        <v>12</v>
      </c>
      <c r="C78" s="5" t="s">
        <v>898</v>
      </c>
      <c r="D78" s="6" t="s">
        <v>899</v>
      </c>
      <c r="E78" s="4" t="s">
        <v>783</v>
      </c>
      <c r="F78" s="4">
        <v>10</v>
      </c>
      <c r="G78" s="4" t="s">
        <v>328</v>
      </c>
      <c r="H78" s="4" t="s">
        <v>794</v>
      </c>
    </row>
    <row r="79" spans="2:8" ht="13.5" thickBot="1" x14ac:dyDescent="0.25">
      <c r="B79" s="4">
        <v>13</v>
      </c>
      <c r="C79" s="5" t="s">
        <v>900</v>
      </c>
      <c r="D79" s="5" t="s">
        <v>901</v>
      </c>
      <c r="E79" s="4" t="s">
        <v>794</v>
      </c>
      <c r="F79" s="4" t="s">
        <v>328</v>
      </c>
      <c r="G79" s="4">
        <v>2</v>
      </c>
      <c r="H79" s="4" t="s">
        <v>794</v>
      </c>
    </row>
    <row r="80" spans="2:8" ht="13.5" thickBot="1" x14ac:dyDescent="0.25">
      <c r="B80" s="4">
        <v>14</v>
      </c>
      <c r="C80" s="5" t="s">
        <v>902</v>
      </c>
      <c r="D80" s="5" t="s">
        <v>903</v>
      </c>
      <c r="E80" s="4" t="s">
        <v>794</v>
      </c>
      <c r="F80" s="4">
        <v>6</v>
      </c>
      <c r="G80" s="4">
        <v>2</v>
      </c>
      <c r="H80" s="4" t="s">
        <v>794</v>
      </c>
    </row>
    <row r="81" spans="2:8" ht="13.5" thickBot="1" x14ac:dyDescent="0.25">
      <c r="B81" s="4">
        <v>15</v>
      </c>
      <c r="C81" s="5" t="s">
        <v>904</v>
      </c>
      <c r="D81" s="5" t="s">
        <v>905</v>
      </c>
      <c r="E81" s="4" t="s">
        <v>794</v>
      </c>
      <c r="F81" s="4" t="s">
        <v>328</v>
      </c>
      <c r="G81" s="4">
        <v>2</v>
      </c>
      <c r="H81" s="4" t="s">
        <v>794</v>
      </c>
    </row>
    <row r="82" spans="2:8" ht="13.5" thickBot="1" x14ac:dyDescent="0.25">
      <c r="B82" s="4">
        <v>16</v>
      </c>
      <c r="C82" s="5" t="s">
        <v>906</v>
      </c>
      <c r="D82" s="5" t="s">
        <v>907</v>
      </c>
      <c r="E82" s="4" t="s">
        <v>794</v>
      </c>
      <c r="F82" s="4" t="s">
        <v>328</v>
      </c>
      <c r="G82" s="4">
        <v>2</v>
      </c>
      <c r="H82" s="4" t="s">
        <v>794</v>
      </c>
    </row>
    <row r="83" spans="2:8" ht="13.5" thickBot="1" x14ac:dyDescent="0.25">
      <c r="B83" s="4">
        <v>17</v>
      </c>
      <c r="C83" s="5" t="s">
        <v>908</v>
      </c>
      <c r="D83" s="5" t="s">
        <v>909</v>
      </c>
      <c r="E83" s="4" t="s">
        <v>794</v>
      </c>
      <c r="F83" s="4">
        <v>6</v>
      </c>
      <c r="G83" s="4">
        <v>2</v>
      </c>
      <c r="H83" s="4" t="s">
        <v>794</v>
      </c>
    </row>
    <row r="84" spans="2:8" ht="13.5" thickBot="1" x14ac:dyDescent="0.25">
      <c r="B84" s="4">
        <v>18</v>
      </c>
      <c r="C84" s="5" t="s">
        <v>910</v>
      </c>
      <c r="D84" s="5" t="s">
        <v>911</v>
      </c>
      <c r="E84" s="4" t="s">
        <v>794</v>
      </c>
      <c r="F84" s="4" t="s">
        <v>328</v>
      </c>
      <c r="G84" s="4">
        <v>2</v>
      </c>
      <c r="H84" s="4" t="s">
        <v>794</v>
      </c>
    </row>
    <row r="85" spans="2:8" x14ac:dyDescent="0.2">
      <c r="B85" s="50">
        <v>19</v>
      </c>
      <c r="C85" s="53" t="s">
        <v>912</v>
      </c>
      <c r="D85" s="7" t="s">
        <v>913</v>
      </c>
      <c r="E85" s="50" t="s">
        <v>783</v>
      </c>
      <c r="F85" s="50" t="s">
        <v>791</v>
      </c>
      <c r="G85" s="50" t="s">
        <v>328</v>
      </c>
      <c r="H85" s="50" t="s">
        <v>794</v>
      </c>
    </row>
    <row r="86" spans="2:8" x14ac:dyDescent="0.2">
      <c r="B86" s="51"/>
      <c r="C86" s="54"/>
      <c r="D86" s="8" t="s">
        <v>914</v>
      </c>
      <c r="E86" s="51"/>
      <c r="F86" s="51"/>
      <c r="G86" s="51"/>
      <c r="H86" s="51"/>
    </row>
    <row r="87" spans="2:8" ht="13.5" thickBot="1" x14ac:dyDescent="0.25">
      <c r="B87" s="52"/>
      <c r="C87" s="55"/>
      <c r="D87" s="9" t="s">
        <v>915</v>
      </c>
      <c r="E87" s="52"/>
      <c r="F87" s="52"/>
      <c r="G87" s="52"/>
      <c r="H87" s="52"/>
    </row>
    <row r="88" spans="2:8" ht="13.5" thickBot="1" x14ac:dyDescent="0.25">
      <c r="B88" s="4">
        <v>20</v>
      </c>
      <c r="C88" s="5" t="s">
        <v>916</v>
      </c>
      <c r="D88" s="5" t="s">
        <v>917</v>
      </c>
      <c r="E88" s="4" t="s">
        <v>783</v>
      </c>
      <c r="F88" s="4" t="s">
        <v>804</v>
      </c>
      <c r="G88" s="4" t="s">
        <v>328</v>
      </c>
      <c r="H88" s="4" t="s">
        <v>794</v>
      </c>
    </row>
    <row r="89" spans="2:8" ht="13.5" thickBot="1" x14ac:dyDescent="0.25">
      <c r="B89" s="4">
        <v>21</v>
      </c>
      <c r="C89" s="5" t="s">
        <v>918</v>
      </c>
      <c r="D89" s="5" t="s">
        <v>919</v>
      </c>
      <c r="E89" s="4" t="s">
        <v>783</v>
      </c>
      <c r="F89" s="4" t="s">
        <v>895</v>
      </c>
      <c r="G89" s="4" t="s">
        <v>328</v>
      </c>
      <c r="H89" s="4" t="s">
        <v>794</v>
      </c>
    </row>
    <row r="90" spans="2:8" ht="13.5" thickBot="1" x14ac:dyDescent="0.25">
      <c r="B90" s="4">
        <v>22</v>
      </c>
      <c r="C90" s="5" t="s">
        <v>920</v>
      </c>
      <c r="D90" s="5" t="s">
        <v>921</v>
      </c>
      <c r="E90" s="4" t="s">
        <v>794</v>
      </c>
      <c r="F90" s="4" t="s">
        <v>328</v>
      </c>
      <c r="G90" s="4">
        <v>2</v>
      </c>
      <c r="H90" s="4" t="s">
        <v>794</v>
      </c>
    </row>
    <row r="91" spans="2:8" ht="13.5" thickBot="1" x14ac:dyDescent="0.25">
      <c r="B91" s="4">
        <v>23</v>
      </c>
      <c r="C91" s="5" t="s">
        <v>922</v>
      </c>
      <c r="D91" s="5" t="s">
        <v>923</v>
      </c>
      <c r="E91" s="4" t="s">
        <v>794</v>
      </c>
      <c r="F91" s="4">
        <v>6</v>
      </c>
      <c r="G91" s="4">
        <v>2</v>
      </c>
      <c r="H91" s="4" t="s">
        <v>794</v>
      </c>
    </row>
    <row r="92" spans="2:8" ht="13.5" thickBot="1" x14ac:dyDescent="0.25">
      <c r="B92" s="4">
        <v>24</v>
      </c>
      <c r="C92" s="5" t="s">
        <v>924</v>
      </c>
      <c r="D92" s="5" t="s">
        <v>925</v>
      </c>
      <c r="E92" s="4" t="s">
        <v>794</v>
      </c>
      <c r="F92" s="4" t="s">
        <v>328</v>
      </c>
      <c r="G92" s="4">
        <v>2</v>
      </c>
      <c r="H92" s="4" t="s">
        <v>794</v>
      </c>
    </row>
    <row r="93" spans="2:8" ht="13.5" thickBot="1" x14ac:dyDescent="0.25">
      <c r="B93" s="4">
        <v>25</v>
      </c>
      <c r="C93" s="5" t="s">
        <v>802</v>
      </c>
      <c r="D93" s="5" t="s">
        <v>926</v>
      </c>
      <c r="E93" s="4" t="s">
        <v>794</v>
      </c>
      <c r="F93" s="4" t="s">
        <v>804</v>
      </c>
      <c r="G93" s="4" t="s">
        <v>328</v>
      </c>
      <c r="H93" s="4" t="s">
        <v>785</v>
      </c>
    </row>
    <row r="94" spans="2:8" ht="13.5" thickBot="1" x14ac:dyDescent="0.25">
      <c r="B94" s="4">
        <v>26</v>
      </c>
      <c r="C94" s="5" t="s">
        <v>805</v>
      </c>
      <c r="D94" s="5" t="s">
        <v>867</v>
      </c>
      <c r="E94" s="4" t="s">
        <v>794</v>
      </c>
      <c r="F94" s="4" t="s">
        <v>328</v>
      </c>
      <c r="G94" s="4">
        <v>2</v>
      </c>
      <c r="H94" s="4" t="s">
        <v>794</v>
      </c>
    </row>
    <row r="95" spans="2:8" ht="13.5" thickBot="1" x14ac:dyDescent="0.25">
      <c r="B95" s="4">
        <v>27</v>
      </c>
      <c r="C95" s="5" t="s">
        <v>807</v>
      </c>
      <c r="D95" s="5" t="s">
        <v>927</v>
      </c>
      <c r="E95" s="4" t="s">
        <v>794</v>
      </c>
      <c r="F95" s="4">
        <v>8</v>
      </c>
      <c r="G95" s="4">
        <v>4</v>
      </c>
      <c r="H95" s="4" t="s">
        <v>794</v>
      </c>
    </row>
    <row r="96" spans="2:8" ht="13.5" thickBot="1" x14ac:dyDescent="0.25">
      <c r="B96" s="4">
        <v>28</v>
      </c>
      <c r="C96" s="5" t="s">
        <v>928</v>
      </c>
      <c r="D96" s="5" t="s">
        <v>929</v>
      </c>
      <c r="E96" s="4" t="s">
        <v>794</v>
      </c>
      <c r="F96" s="4" t="s">
        <v>328</v>
      </c>
      <c r="G96" s="4">
        <v>3</v>
      </c>
      <c r="H96" s="4" t="s">
        <v>794</v>
      </c>
    </row>
    <row r="97" spans="2:8" ht="13.5" thickBot="1" x14ac:dyDescent="0.25">
      <c r="B97" s="4">
        <v>29</v>
      </c>
      <c r="C97" s="5" t="s">
        <v>930</v>
      </c>
      <c r="D97" s="5" t="s">
        <v>931</v>
      </c>
      <c r="E97" s="4" t="s">
        <v>794</v>
      </c>
      <c r="F97" s="4" t="s">
        <v>328</v>
      </c>
      <c r="G97" s="4">
        <v>4</v>
      </c>
      <c r="H97" s="4" t="s">
        <v>794</v>
      </c>
    </row>
    <row r="98" spans="2:8" ht="13.5" thickBot="1" x14ac:dyDescent="0.25">
      <c r="B98" s="4">
        <v>30</v>
      </c>
      <c r="C98" s="5" t="s">
        <v>809</v>
      </c>
      <c r="D98" s="5" t="s">
        <v>810</v>
      </c>
      <c r="E98" s="4" t="s">
        <v>794</v>
      </c>
      <c r="F98" s="4" t="s">
        <v>328</v>
      </c>
      <c r="G98" s="4">
        <v>2</v>
      </c>
      <c r="H98" s="4" t="s">
        <v>794</v>
      </c>
    </row>
    <row r="99" spans="2:8" ht="13.5" thickBot="1" x14ac:dyDescent="0.25">
      <c r="B99" s="4">
        <v>31</v>
      </c>
      <c r="C99" s="5" t="s">
        <v>811</v>
      </c>
      <c r="D99" s="5" t="s">
        <v>932</v>
      </c>
      <c r="E99" s="4" t="s">
        <v>794</v>
      </c>
      <c r="F99" s="4" t="s">
        <v>804</v>
      </c>
      <c r="G99" s="4" t="s">
        <v>328</v>
      </c>
      <c r="H99" s="4" t="s">
        <v>785</v>
      </c>
    </row>
    <row r="100" spans="2:8" ht="13.5" thickBot="1" x14ac:dyDescent="0.25">
      <c r="B100" s="4">
        <v>32</v>
      </c>
      <c r="C100" s="5" t="s">
        <v>813</v>
      </c>
      <c r="D100" s="5" t="s">
        <v>869</v>
      </c>
      <c r="E100" s="4" t="s">
        <v>794</v>
      </c>
      <c r="F100" s="4" t="s">
        <v>328</v>
      </c>
      <c r="G100" s="4">
        <v>2</v>
      </c>
      <c r="H100" s="4" t="s">
        <v>794</v>
      </c>
    </row>
    <row r="101" spans="2:8" ht="13.5" thickBot="1" x14ac:dyDescent="0.25">
      <c r="B101" s="4">
        <v>33</v>
      </c>
      <c r="C101" s="5" t="s">
        <v>815</v>
      </c>
      <c r="D101" s="5" t="s">
        <v>933</v>
      </c>
      <c r="E101" s="4" t="s">
        <v>794</v>
      </c>
      <c r="F101" s="4">
        <v>8</v>
      </c>
      <c r="G101" s="4">
        <v>4</v>
      </c>
      <c r="H101" s="4" t="s">
        <v>794</v>
      </c>
    </row>
    <row r="102" spans="2:8" ht="26.25" thickBot="1" x14ac:dyDescent="0.25">
      <c r="B102" s="4">
        <v>34</v>
      </c>
      <c r="C102" s="5" t="s">
        <v>934</v>
      </c>
      <c r="D102" s="5" t="s">
        <v>935</v>
      </c>
      <c r="E102" s="4" t="s">
        <v>794</v>
      </c>
      <c r="F102" s="4" t="s">
        <v>328</v>
      </c>
      <c r="G102" s="4">
        <v>3</v>
      </c>
      <c r="H102" s="4" t="s">
        <v>794</v>
      </c>
    </row>
    <row r="103" spans="2:8" ht="26.25" thickBot="1" x14ac:dyDescent="0.25">
      <c r="B103" s="4">
        <v>35</v>
      </c>
      <c r="C103" s="5" t="s">
        <v>936</v>
      </c>
      <c r="D103" s="5" t="s">
        <v>937</v>
      </c>
      <c r="E103" s="4" t="s">
        <v>794</v>
      </c>
      <c r="F103" s="4" t="s">
        <v>328</v>
      </c>
      <c r="G103" s="4">
        <v>4</v>
      </c>
      <c r="H103" s="4" t="s">
        <v>794</v>
      </c>
    </row>
    <row r="104" spans="2:8" ht="13.5" thickBot="1" x14ac:dyDescent="0.25">
      <c r="B104" s="4">
        <v>36</v>
      </c>
      <c r="C104" s="5" t="s">
        <v>817</v>
      </c>
      <c r="D104" s="5" t="s">
        <v>818</v>
      </c>
      <c r="E104" s="4" t="s">
        <v>794</v>
      </c>
      <c r="F104" s="4" t="s">
        <v>328</v>
      </c>
      <c r="G104" s="4">
        <v>2</v>
      </c>
      <c r="H104" s="4" t="s">
        <v>794</v>
      </c>
    </row>
    <row r="105" spans="2:8" ht="13.5" thickBot="1" x14ac:dyDescent="0.25">
      <c r="B105" s="4">
        <v>37</v>
      </c>
      <c r="C105" s="5" t="s">
        <v>825</v>
      </c>
      <c r="D105" s="5" t="s">
        <v>826</v>
      </c>
      <c r="E105" s="4" t="s">
        <v>783</v>
      </c>
      <c r="F105" s="4">
        <v>255</v>
      </c>
      <c r="G105" s="4" t="s">
        <v>328</v>
      </c>
      <c r="H105" s="4" t="s">
        <v>794</v>
      </c>
    </row>
    <row r="107" spans="2:8" ht="13.5" thickBot="1" x14ac:dyDescent="0.25">
      <c r="B107" s="10" t="s">
        <v>939</v>
      </c>
    </row>
    <row r="108" spans="2:8" ht="13.5" thickBot="1" x14ac:dyDescent="0.25">
      <c r="B108" s="11" t="s">
        <v>775</v>
      </c>
      <c r="C108" s="11" t="s">
        <v>776</v>
      </c>
      <c r="D108" s="11" t="s">
        <v>31</v>
      </c>
      <c r="E108" s="11" t="s">
        <v>777</v>
      </c>
      <c r="F108" s="11" t="s">
        <v>778</v>
      </c>
      <c r="G108" s="11" t="s">
        <v>779</v>
      </c>
      <c r="H108" s="11" t="s">
        <v>780</v>
      </c>
    </row>
    <row r="109" spans="2:8" ht="13.5" thickBot="1" x14ac:dyDescent="0.25">
      <c r="B109" s="12">
        <v>1</v>
      </c>
      <c r="C109" s="13" t="s">
        <v>781</v>
      </c>
      <c r="D109" s="14" t="s">
        <v>949</v>
      </c>
      <c r="E109" s="12" t="s">
        <v>783</v>
      </c>
      <c r="F109" s="12" t="s">
        <v>784</v>
      </c>
      <c r="G109" s="12" t="s">
        <v>328</v>
      </c>
      <c r="H109" s="12" t="s">
        <v>785</v>
      </c>
    </row>
    <row r="110" spans="2:8" ht="13.5" thickBot="1" x14ac:dyDescent="0.25">
      <c r="B110" s="12">
        <v>2</v>
      </c>
      <c r="C110" s="13" t="s">
        <v>950</v>
      </c>
      <c r="D110" s="14" t="s">
        <v>951</v>
      </c>
      <c r="E110" s="12" t="s">
        <v>783</v>
      </c>
      <c r="F110" s="12" t="s">
        <v>804</v>
      </c>
      <c r="G110" s="12" t="s">
        <v>328</v>
      </c>
      <c r="H110" s="12" t="s">
        <v>785</v>
      </c>
    </row>
    <row r="111" spans="2:8" ht="13.5" thickBot="1" x14ac:dyDescent="0.25">
      <c r="B111" s="12">
        <v>3</v>
      </c>
      <c r="C111" s="13" t="s">
        <v>952</v>
      </c>
      <c r="D111" s="13" t="s">
        <v>953</v>
      </c>
      <c r="E111" s="12" t="s">
        <v>794</v>
      </c>
      <c r="F111" s="12" t="s">
        <v>954</v>
      </c>
      <c r="G111" s="12" t="s">
        <v>328</v>
      </c>
      <c r="H111" s="12" t="s">
        <v>794</v>
      </c>
    </row>
    <row r="112" spans="2:8" ht="13.5" thickBot="1" x14ac:dyDescent="0.25">
      <c r="B112" s="12">
        <v>4</v>
      </c>
      <c r="C112" s="13" t="s">
        <v>846</v>
      </c>
      <c r="D112" s="13" t="s">
        <v>847</v>
      </c>
      <c r="E112" s="12" t="s">
        <v>783</v>
      </c>
      <c r="F112" s="12">
        <v>4</v>
      </c>
      <c r="G112" s="12" t="s">
        <v>328</v>
      </c>
      <c r="H112" s="12" t="s">
        <v>794</v>
      </c>
    </row>
    <row r="113" spans="2:8" ht="13.5" thickBot="1" x14ac:dyDescent="0.25">
      <c r="B113" s="12">
        <v>5</v>
      </c>
      <c r="C113" s="13" t="s">
        <v>848</v>
      </c>
      <c r="D113" s="13" t="s">
        <v>849</v>
      </c>
      <c r="E113" s="12" t="s">
        <v>794</v>
      </c>
      <c r="F113" s="12">
        <v>3</v>
      </c>
      <c r="G113" s="12" t="s">
        <v>328</v>
      </c>
      <c r="H113" s="12" t="s">
        <v>794</v>
      </c>
    </row>
    <row r="114" spans="2:8" x14ac:dyDescent="0.2">
      <c r="B114" s="56">
        <v>6</v>
      </c>
      <c r="C114" s="59" t="s">
        <v>955</v>
      </c>
      <c r="D114" s="15" t="s">
        <v>956</v>
      </c>
      <c r="E114" s="56" t="s">
        <v>794</v>
      </c>
      <c r="F114" s="56" t="s">
        <v>791</v>
      </c>
      <c r="G114" s="56" t="s">
        <v>328</v>
      </c>
      <c r="H114" s="56" t="s">
        <v>785</v>
      </c>
    </row>
    <row r="115" spans="2:8" x14ac:dyDescent="0.2">
      <c r="B115" s="57"/>
      <c r="C115" s="60"/>
      <c r="D115" s="16" t="s">
        <v>940</v>
      </c>
      <c r="E115" s="57"/>
      <c r="F115" s="57"/>
      <c r="G115" s="57"/>
      <c r="H115" s="57"/>
    </row>
    <row r="116" spans="2:8" x14ac:dyDescent="0.2">
      <c r="B116" s="57"/>
      <c r="C116" s="60"/>
      <c r="D116" s="16" t="s">
        <v>941</v>
      </c>
      <c r="E116" s="57"/>
      <c r="F116" s="57"/>
      <c r="G116" s="57"/>
      <c r="H116" s="57"/>
    </row>
    <row r="117" spans="2:8" x14ac:dyDescent="0.2">
      <c r="B117" s="57"/>
      <c r="C117" s="60"/>
      <c r="D117" s="16" t="s">
        <v>942</v>
      </c>
      <c r="E117" s="57"/>
      <c r="F117" s="57"/>
      <c r="G117" s="57"/>
      <c r="H117" s="57"/>
    </row>
    <row r="118" spans="2:8" x14ac:dyDescent="0.2">
      <c r="B118" s="57"/>
      <c r="C118" s="60"/>
      <c r="D118" s="16" t="s">
        <v>943</v>
      </c>
      <c r="E118" s="57"/>
      <c r="F118" s="57"/>
      <c r="G118" s="57"/>
      <c r="H118" s="57"/>
    </row>
    <row r="119" spans="2:8" x14ac:dyDescent="0.2">
      <c r="B119" s="57"/>
      <c r="C119" s="60"/>
      <c r="D119" s="16" t="s">
        <v>944</v>
      </c>
      <c r="E119" s="57"/>
      <c r="F119" s="57"/>
      <c r="G119" s="57"/>
      <c r="H119" s="57"/>
    </row>
    <row r="120" spans="2:8" x14ac:dyDescent="0.2">
      <c r="B120" s="57"/>
      <c r="C120" s="60"/>
      <c r="D120" s="16" t="s">
        <v>945</v>
      </c>
      <c r="E120" s="57"/>
      <c r="F120" s="57"/>
      <c r="G120" s="57"/>
      <c r="H120" s="57"/>
    </row>
    <row r="121" spans="2:8" x14ac:dyDescent="0.2">
      <c r="B121" s="57"/>
      <c r="C121" s="60"/>
      <c r="D121" s="16" t="s">
        <v>946</v>
      </c>
      <c r="E121" s="57"/>
      <c r="F121" s="57"/>
      <c r="G121" s="57"/>
      <c r="H121" s="57"/>
    </row>
    <row r="122" spans="2:8" x14ac:dyDescent="0.2">
      <c r="B122" s="57"/>
      <c r="C122" s="60"/>
      <c r="D122" s="16" t="s">
        <v>947</v>
      </c>
      <c r="E122" s="57"/>
      <c r="F122" s="57"/>
      <c r="G122" s="57"/>
      <c r="H122" s="57"/>
    </row>
    <row r="123" spans="2:8" x14ac:dyDescent="0.2">
      <c r="B123" s="57"/>
      <c r="C123" s="60"/>
      <c r="D123" s="16" t="s">
        <v>948</v>
      </c>
      <c r="E123" s="57"/>
      <c r="F123" s="57"/>
      <c r="G123" s="57"/>
      <c r="H123" s="57"/>
    </row>
    <row r="124" spans="2:8" ht="13.5" thickBot="1" x14ac:dyDescent="0.25">
      <c r="B124" s="58"/>
      <c r="C124" s="61"/>
      <c r="D124" s="17" t="s">
        <v>957</v>
      </c>
      <c r="E124" s="58"/>
      <c r="F124" s="58"/>
      <c r="G124" s="58"/>
      <c r="H124" s="58"/>
    </row>
    <row r="125" spans="2:8" ht="13.5" thickBot="1" x14ac:dyDescent="0.25">
      <c r="B125" s="12">
        <v>7</v>
      </c>
      <c r="C125" s="13" t="s">
        <v>958</v>
      </c>
      <c r="D125" s="13" t="s">
        <v>959</v>
      </c>
      <c r="E125" s="12" t="s">
        <v>794</v>
      </c>
      <c r="F125" s="12" t="s">
        <v>328</v>
      </c>
      <c r="G125" s="12" t="s">
        <v>328</v>
      </c>
      <c r="H125" s="12" t="s">
        <v>785</v>
      </c>
    </row>
    <row r="126" spans="2:8" ht="13.5" thickBot="1" x14ac:dyDescent="0.25">
      <c r="B126" s="12">
        <v>8</v>
      </c>
      <c r="C126" s="13" t="s">
        <v>960</v>
      </c>
      <c r="D126" s="13" t="s">
        <v>961</v>
      </c>
      <c r="E126" s="12" t="s">
        <v>794</v>
      </c>
      <c r="F126" s="12" t="s">
        <v>799</v>
      </c>
      <c r="G126" s="12" t="s">
        <v>328</v>
      </c>
      <c r="H126" s="12" t="s">
        <v>785</v>
      </c>
    </row>
    <row r="127" spans="2:8" ht="13.5" thickBot="1" x14ac:dyDescent="0.25">
      <c r="B127" s="12">
        <v>9</v>
      </c>
      <c r="C127" s="13" t="s">
        <v>962</v>
      </c>
      <c r="D127" s="13" t="s">
        <v>963</v>
      </c>
      <c r="E127" s="12" t="s">
        <v>794</v>
      </c>
      <c r="F127" s="12" t="s">
        <v>799</v>
      </c>
      <c r="G127" s="12" t="s">
        <v>328</v>
      </c>
      <c r="H127" s="12" t="s">
        <v>785</v>
      </c>
    </row>
    <row r="128" spans="2:8" ht="13.5" thickBot="1" x14ac:dyDescent="0.25">
      <c r="B128" s="12">
        <v>10</v>
      </c>
      <c r="C128" s="13" t="s">
        <v>858</v>
      </c>
      <c r="D128" s="13" t="s">
        <v>964</v>
      </c>
      <c r="E128" s="12" t="s">
        <v>794</v>
      </c>
      <c r="F128" s="12" t="s">
        <v>328</v>
      </c>
      <c r="G128" s="12">
        <v>2</v>
      </c>
      <c r="H128" s="12" t="s">
        <v>785</v>
      </c>
    </row>
    <row r="129" spans="2:8" ht="13.5" thickBot="1" x14ac:dyDescent="0.25">
      <c r="B129" s="12">
        <v>11</v>
      </c>
      <c r="C129" s="13" t="s">
        <v>865</v>
      </c>
      <c r="D129" s="13" t="s">
        <v>965</v>
      </c>
      <c r="E129" s="12" t="s">
        <v>794</v>
      </c>
      <c r="F129" s="12" t="s">
        <v>328</v>
      </c>
      <c r="G129" s="12">
        <v>2</v>
      </c>
      <c r="H129" s="12" t="s">
        <v>794</v>
      </c>
    </row>
    <row r="130" spans="2:8" ht="13.5" thickBot="1" x14ac:dyDescent="0.25">
      <c r="B130" s="12">
        <v>12</v>
      </c>
      <c r="C130" s="13" t="s">
        <v>966</v>
      </c>
      <c r="D130" s="13" t="s">
        <v>967</v>
      </c>
      <c r="E130" s="12" t="s">
        <v>794</v>
      </c>
      <c r="F130" s="12" t="s">
        <v>328</v>
      </c>
      <c r="G130" s="12">
        <v>2</v>
      </c>
      <c r="H130" s="12" t="s">
        <v>785</v>
      </c>
    </row>
    <row r="131" spans="2:8" ht="13.5" thickBot="1" x14ac:dyDescent="0.25">
      <c r="B131" s="12">
        <v>13</v>
      </c>
      <c r="C131" s="13" t="s">
        <v>968</v>
      </c>
      <c r="D131" s="13" t="s">
        <v>969</v>
      </c>
      <c r="E131" s="12" t="s">
        <v>794</v>
      </c>
      <c r="F131" s="12" t="s">
        <v>328</v>
      </c>
      <c r="G131" s="12">
        <v>2</v>
      </c>
      <c r="H131" s="12" t="s">
        <v>794</v>
      </c>
    </row>
    <row r="132" spans="2:8" ht="13.5" thickBot="1" x14ac:dyDescent="0.25">
      <c r="B132" s="12">
        <v>14</v>
      </c>
      <c r="C132" s="13" t="s">
        <v>970</v>
      </c>
      <c r="D132" s="13" t="s">
        <v>971</v>
      </c>
      <c r="E132" s="12" t="s">
        <v>794</v>
      </c>
      <c r="F132" s="12" t="s">
        <v>328</v>
      </c>
      <c r="G132" s="12">
        <v>2</v>
      </c>
      <c r="H132" s="12" t="s">
        <v>794</v>
      </c>
    </row>
    <row r="133" spans="2:8" ht="13.5" thickBot="1" x14ac:dyDescent="0.25">
      <c r="B133" s="12">
        <v>15</v>
      </c>
      <c r="C133" s="13" t="s">
        <v>972</v>
      </c>
      <c r="D133" s="13" t="s">
        <v>973</v>
      </c>
      <c r="E133" s="12" t="s">
        <v>794</v>
      </c>
      <c r="F133" s="12" t="s">
        <v>328</v>
      </c>
      <c r="G133" s="12">
        <v>2</v>
      </c>
      <c r="H133" s="12" t="s">
        <v>794</v>
      </c>
    </row>
    <row r="134" spans="2:8" ht="13.5" thickBot="1" x14ac:dyDescent="0.25">
      <c r="B134" s="12">
        <v>16</v>
      </c>
      <c r="C134" s="13" t="s">
        <v>900</v>
      </c>
      <c r="D134" s="13" t="s">
        <v>974</v>
      </c>
      <c r="E134" s="12" t="s">
        <v>794</v>
      </c>
      <c r="F134" s="12" t="s">
        <v>328</v>
      </c>
      <c r="G134" s="12">
        <v>2</v>
      </c>
      <c r="H134" s="12" t="s">
        <v>794</v>
      </c>
    </row>
    <row r="135" spans="2:8" ht="13.5" thickBot="1" x14ac:dyDescent="0.25">
      <c r="B135" s="12">
        <v>17</v>
      </c>
      <c r="C135" s="13" t="s">
        <v>904</v>
      </c>
      <c r="D135" s="13" t="s">
        <v>975</v>
      </c>
      <c r="E135" s="12" t="s">
        <v>794</v>
      </c>
      <c r="F135" s="12" t="s">
        <v>328</v>
      </c>
      <c r="G135" s="12">
        <v>2</v>
      </c>
      <c r="H135" s="12" t="s">
        <v>794</v>
      </c>
    </row>
    <row r="136" spans="2:8" ht="13.5" thickBot="1" x14ac:dyDescent="0.25">
      <c r="B136" s="12">
        <v>18</v>
      </c>
      <c r="C136" s="13" t="s">
        <v>809</v>
      </c>
      <c r="D136" s="13" t="s">
        <v>810</v>
      </c>
      <c r="E136" s="12" t="s">
        <v>794</v>
      </c>
      <c r="F136" s="12" t="s">
        <v>328</v>
      </c>
      <c r="G136" s="12">
        <v>2</v>
      </c>
      <c r="H136" s="12" t="s">
        <v>794</v>
      </c>
    </row>
    <row r="137" spans="2:8" ht="13.5" thickBot="1" x14ac:dyDescent="0.25">
      <c r="B137" s="12">
        <v>19</v>
      </c>
      <c r="C137" s="13" t="s">
        <v>817</v>
      </c>
      <c r="D137" s="13" t="s">
        <v>818</v>
      </c>
      <c r="E137" s="12" t="s">
        <v>794</v>
      </c>
      <c r="F137" s="12" t="s">
        <v>328</v>
      </c>
      <c r="G137" s="12">
        <v>2</v>
      </c>
      <c r="H137" s="12" t="s">
        <v>794</v>
      </c>
    </row>
    <row r="139" spans="2:8" ht="13.5" thickBot="1" x14ac:dyDescent="0.25">
      <c r="B139" s="10" t="s">
        <v>115</v>
      </c>
    </row>
    <row r="140" spans="2:8" ht="13.5" thickBot="1" x14ac:dyDescent="0.25">
      <c r="B140" s="11" t="s">
        <v>775</v>
      </c>
      <c r="C140" s="11" t="s">
        <v>776</v>
      </c>
      <c r="D140" s="11" t="s">
        <v>31</v>
      </c>
      <c r="E140" s="11" t="s">
        <v>777</v>
      </c>
      <c r="F140" s="11" t="s">
        <v>778</v>
      </c>
      <c r="G140" s="11" t="s">
        <v>779</v>
      </c>
      <c r="H140" s="11" t="s">
        <v>780</v>
      </c>
    </row>
    <row r="141" spans="2:8" ht="13.5" thickBot="1" x14ac:dyDescent="0.25">
      <c r="B141" s="12">
        <v>1</v>
      </c>
      <c r="C141" s="13" t="s">
        <v>781</v>
      </c>
      <c r="D141" s="14" t="s">
        <v>976</v>
      </c>
      <c r="E141" s="12" t="s">
        <v>783</v>
      </c>
      <c r="F141" s="12" t="s">
        <v>784</v>
      </c>
      <c r="G141" s="12" t="s">
        <v>328</v>
      </c>
      <c r="H141" s="12" t="s">
        <v>785</v>
      </c>
    </row>
    <row r="142" spans="2:8" ht="13.5" thickBot="1" x14ac:dyDescent="0.25">
      <c r="B142" s="12">
        <v>2</v>
      </c>
      <c r="C142" s="13" t="s">
        <v>792</v>
      </c>
      <c r="D142" s="14" t="s">
        <v>977</v>
      </c>
      <c r="E142" s="12" t="s">
        <v>783</v>
      </c>
      <c r="F142" s="12">
        <v>60</v>
      </c>
      <c r="G142" s="12" t="s">
        <v>328</v>
      </c>
      <c r="H142" s="12" t="s">
        <v>785</v>
      </c>
    </row>
    <row r="143" spans="2:8" ht="13.5" thickBot="1" x14ac:dyDescent="0.25">
      <c r="B143" s="12">
        <v>3</v>
      </c>
      <c r="C143" s="13" t="s">
        <v>950</v>
      </c>
      <c r="D143" s="14" t="s">
        <v>978</v>
      </c>
      <c r="E143" s="12" t="s">
        <v>783</v>
      </c>
      <c r="F143" s="12" t="s">
        <v>804</v>
      </c>
      <c r="G143" s="12" t="s">
        <v>328</v>
      </c>
      <c r="H143" s="12" t="s">
        <v>785</v>
      </c>
    </row>
    <row r="144" spans="2:8" ht="13.5" thickBot="1" x14ac:dyDescent="0.25">
      <c r="B144" s="12">
        <v>4</v>
      </c>
      <c r="C144" s="13" t="s">
        <v>842</v>
      </c>
      <c r="D144" s="14" t="s">
        <v>979</v>
      </c>
      <c r="E144" s="12" t="s">
        <v>794</v>
      </c>
      <c r="F144" s="12" t="s">
        <v>804</v>
      </c>
      <c r="G144" s="12" t="s">
        <v>328</v>
      </c>
      <c r="H144" s="12" t="s">
        <v>785</v>
      </c>
    </row>
    <row r="145" spans="2:8" ht="13.5" thickBot="1" x14ac:dyDescent="0.25">
      <c r="B145" s="12">
        <v>5</v>
      </c>
      <c r="C145" s="13" t="s">
        <v>846</v>
      </c>
      <c r="D145" s="13" t="s">
        <v>847</v>
      </c>
      <c r="E145" s="12" t="s">
        <v>783</v>
      </c>
      <c r="F145" s="12">
        <v>4</v>
      </c>
      <c r="G145" s="12" t="s">
        <v>328</v>
      </c>
      <c r="H145" s="12" t="s">
        <v>794</v>
      </c>
    </row>
    <row r="146" spans="2:8" ht="13.5" thickBot="1" x14ac:dyDescent="0.25">
      <c r="B146" s="12">
        <v>6</v>
      </c>
      <c r="C146" s="13" t="s">
        <v>848</v>
      </c>
      <c r="D146" s="13" t="s">
        <v>849</v>
      </c>
      <c r="E146" s="12" t="s">
        <v>794</v>
      </c>
      <c r="F146" s="12">
        <v>3</v>
      </c>
      <c r="G146" s="12" t="s">
        <v>328</v>
      </c>
      <c r="H146" s="12" t="s">
        <v>794</v>
      </c>
    </row>
    <row r="147" spans="2:8" ht="13.5" thickBot="1" x14ac:dyDescent="0.25">
      <c r="B147" s="12">
        <v>7</v>
      </c>
      <c r="C147" s="13" t="s">
        <v>850</v>
      </c>
      <c r="D147" s="13" t="s">
        <v>980</v>
      </c>
      <c r="E147" s="12" t="s">
        <v>794</v>
      </c>
      <c r="F147" s="12">
        <v>9</v>
      </c>
      <c r="G147" s="12" t="s">
        <v>328</v>
      </c>
      <c r="H147" s="12" t="s">
        <v>785</v>
      </c>
    </row>
    <row r="148" spans="2:8" ht="13.5" thickBot="1" x14ac:dyDescent="0.25">
      <c r="B148" s="12">
        <v>8</v>
      </c>
      <c r="C148" s="13" t="s">
        <v>854</v>
      </c>
      <c r="D148" s="13" t="s">
        <v>855</v>
      </c>
      <c r="E148" s="12" t="s">
        <v>794</v>
      </c>
      <c r="F148" s="12" t="s">
        <v>799</v>
      </c>
      <c r="G148" s="12" t="s">
        <v>328</v>
      </c>
      <c r="H148" s="12" t="s">
        <v>785</v>
      </c>
    </row>
    <row r="149" spans="2:8" ht="13.5" thickBot="1" x14ac:dyDescent="0.25">
      <c r="B149" s="12">
        <v>9</v>
      </c>
      <c r="C149" s="13" t="s">
        <v>981</v>
      </c>
      <c r="D149" s="13" t="s">
        <v>982</v>
      </c>
      <c r="E149" s="12" t="s">
        <v>794</v>
      </c>
      <c r="F149" s="12" t="s">
        <v>799</v>
      </c>
      <c r="G149" s="12" t="s">
        <v>328</v>
      </c>
      <c r="H149" s="12" t="s">
        <v>794</v>
      </c>
    </row>
    <row r="150" spans="2:8" ht="13.5" thickBot="1" x14ac:dyDescent="0.25">
      <c r="B150" s="12">
        <v>10</v>
      </c>
      <c r="C150" s="13" t="s">
        <v>858</v>
      </c>
      <c r="D150" s="13" t="s">
        <v>983</v>
      </c>
      <c r="E150" s="12" t="s">
        <v>794</v>
      </c>
      <c r="F150" s="12" t="s">
        <v>328</v>
      </c>
      <c r="G150" s="12">
        <v>2</v>
      </c>
      <c r="H150" s="12" t="s">
        <v>785</v>
      </c>
    </row>
    <row r="151" spans="2:8" ht="13.5" thickBot="1" x14ac:dyDescent="0.25">
      <c r="B151" s="12">
        <v>11</v>
      </c>
      <c r="C151" s="13" t="s">
        <v>904</v>
      </c>
      <c r="D151" s="13" t="s">
        <v>975</v>
      </c>
      <c r="E151" s="12" t="s">
        <v>794</v>
      </c>
      <c r="F151" s="12" t="s">
        <v>328</v>
      </c>
      <c r="G151" s="12">
        <v>2</v>
      </c>
      <c r="H151" s="12" t="s">
        <v>794</v>
      </c>
    </row>
    <row r="152" spans="2:8" ht="13.5" thickBot="1" x14ac:dyDescent="0.25">
      <c r="B152" s="12">
        <v>12</v>
      </c>
      <c r="C152" s="13" t="s">
        <v>984</v>
      </c>
      <c r="D152" s="14" t="s">
        <v>985</v>
      </c>
      <c r="E152" s="12" t="s">
        <v>783</v>
      </c>
      <c r="F152" s="12">
        <v>6</v>
      </c>
      <c r="G152" s="12" t="s">
        <v>328</v>
      </c>
      <c r="H152" s="12" t="s">
        <v>794</v>
      </c>
    </row>
    <row r="153" spans="2:8" ht="13.5" thickBot="1" x14ac:dyDescent="0.25">
      <c r="B153" s="12">
        <v>13</v>
      </c>
      <c r="C153" s="13" t="s">
        <v>809</v>
      </c>
      <c r="D153" s="13" t="s">
        <v>810</v>
      </c>
      <c r="E153" s="12" t="s">
        <v>794</v>
      </c>
      <c r="F153" s="12" t="s">
        <v>328</v>
      </c>
      <c r="G153" s="12">
        <v>2</v>
      </c>
      <c r="H153" s="12" t="s">
        <v>794</v>
      </c>
    </row>
    <row r="154" spans="2:8" ht="13.5" thickBot="1" x14ac:dyDescent="0.25">
      <c r="B154" s="12">
        <v>14</v>
      </c>
      <c r="C154" s="13" t="s">
        <v>817</v>
      </c>
      <c r="D154" s="13" t="s">
        <v>818</v>
      </c>
      <c r="E154" s="12" t="s">
        <v>794</v>
      </c>
      <c r="F154" s="12" t="s">
        <v>328</v>
      </c>
      <c r="G154" s="12">
        <v>2</v>
      </c>
      <c r="H154" s="12" t="s">
        <v>794</v>
      </c>
    </row>
    <row r="155" spans="2:8" ht="13.5" thickBot="1" x14ac:dyDescent="0.25">
      <c r="B155" s="12">
        <v>15</v>
      </c>
      <c r="C155" s="13" t="s">
        <v>986</v>
      </c>
      <c r="D155" s="13" t="s">
        <v>987</v>
      </c>
      <c r="E155" s="12" t="s">
        <v>794</v>
      </c>
      <c r="F155" s="12" t="s">
        <v>988</v>
      </c>
      <c r="G155" s="12" t="s">
        <v>328</v>
      </c>
      <c r="H155" s="12" t="s">
        <v>794</v>
      </c>
    </row>
    <row r="157" spans="2:8" ht="13.5" thickBot="1" x14ac:dyDescent="0.25">
      <c r="B157" s="10" t="s">
        <v>167</v>
      </c>
    </row>
    <row r="158" spans="2:8" ht="13.5" thickBot="1" x14ac:dyDescent="0.25">
      <c r="B158" s="3" t="s">
        <v>775</v>
      </c>
      <c r="C158" s="3" t="s">
        <v>776</v>
      </c>
      <c r="D158" s="3" t="s">
        <v>31</v>
      </c>
      <c r="E158" s="3" t="s">
        <v>777</v>
      </c>
      <c r="F158" s="3" t="s">
        <v>778</v>
      </c>
      <c r="G158" s="3" t="s">
        <v>779</v>
      </c>
      <c r="H158" s="3" t="s">
        <v>780</v>
      </c>
    </row>
    <row r="159" spans="2:8" ht="13.5" thickBot="1" x14ac:dyDescent="0.25">
      <c r="B159" s="4">
        <v>1</v>
      </c>
      <c r="C159" s="5" t="s">
        <v>781</v>
      </c>
      <c r="D159" s="6" t="s">
        <v>989</v>
      </c>
      <c r="E159" s="4" t="s">
        <v>783</v>
      </c>
      <c r="F159" s="4" t="s">
        <v>784</v>
      </c>
      <c r="G159" s="4" t="s">
        <v>328</v>
      </c>
      <c r="H159" s="4" t="s">
        <v>785</v>
      </c>
    </row>
    <row r="160" spans="2:8" x14ac:dyDescent="0.2">
      <c r="B160" s="50">
        <v>2</v>
      </c>
      <c r="C160" s="53" t="s">
        <v>786</v>
      </c>
      <c r="D160" s="7" t="s">
        <v>832</v>
      </c>
      <c r="E160" s="50" t="s">
        <v>783</v>
      </c>
      <c r="F160" s="50" t="s">
        <v>791</v>
      </c>
      <c r="G160" s="50" t="s">
        <v>328</v>
      </c>
      <c r="H160" s="50" t="s">
        <v>785</v>
      </c>
    </row>
    <row r="161" spans="2:8" ht="13.5" thickBot="1" x14ac:dyDescent="0.25">
      <c r="B161" s="52"/>
      <c r="C161" s="55"/>
      <c r="D161" s="9" t="s">
        <v>990</v>
      </c>
      <c r="E161" s="52"/>
      <c r="F161" s="52"/>
      <c r="G161" s="52"/>
      <c r="H161" s="52"/>
    </row>
    <row r="162" spans="2:8" x14ac:dyDescent="0.2">
      <c r="B162" s="50">
        <v>3</v>
      </c>
      <c r="C162" s="53" t="s">
        <v>835</v>
      </c>
      <c r="D162" s="7" t="s">
        <v>836</v>
      </c>
      <c r="E162" s="50" t="s">
        <v>783</v>
      </c>
      <c r="F162" s="50" t="s">
        <v>791</v>
      </c>
      <c r="G162" s="50" t="s">
        <v>328</v>
      </c>
      <c r="H162" s="50" t="s">
        <v>785</v>
      </c>
    </row>
    <row r="163" spans="2:8" x14ac:dyDescent="0.2">
      <c r="B163" s="51"/>
      <c r="C163" s="54"/>
      <c r="D163" s="8" t="s">
        <v>991</v>
      </c>
      <c r="E163" s="51"/>
      <c r="F163" s="51"/>
      <c r="G163" s="51"/>
      <c r="H163" s="51"/>
    </row>
    <row r="164" spans="2:8" ht="13.5" thickBot="1" x14ac:dyDescent="0.25">
      <c r="B164" s="52"/>
      <c r="C164" s="55"/>
      <c r="D164" s="9" t="s">
        <v>992</v>
      </c>
      <c r="E164" s="52"/>
      <c r="F164" s="52"/>
      <c r="G164" s="52"/>
      <c r="H164" s="52"/>
    </row>
    <row r="165" spans="2:8" ht="13.5" thickBot="1" x14ac:dyDescent="0.25">
      <c r="B165" s="4">
        <v>4</v>
      </c>
      <c r="C165" s="5" t="s">
        <v>792</v>
      </c>
      <c r="D165" s="6" t="s">
        <v>993</v>
      </c>
      <c r="E165" s="4" t="s">
        <v>783</v>
      </c>
      <c r="F165" s="4">
        <v>60</v>
      </c>
      <c r="G165" s="4" t="s">
        <v>328</v>
      </c>
      <c r="H165" s="4" t="s">
        <v>785</v>
      </c>
    </row>
    <row r="166" spans="2:8" ht="13.5" thickBot="1" x14ac:dyDescent="0.25">
      <c r="B166" s="4">
        <v>5</v>
      </c>
      <c r="C166" s="5" t="s">
        <v>950</v>
      </c>
      <c r="D166" s="6" t="s">
        <v>951</v>
      </c>
      <c r="E166" s="4" t="s">
        <v>783</v>
      </c>
      <c r="F166" s="4" t="s">
        <v>804</v>
      </c>
      <c r="G166" s="4" t="s">
        <v>328</v>
      </c>
      <c r="H166" s="4" t="s">
        <v>785</v>
      </c>
    </row>
    <row r="167" spans="2:8" ht="13.5" thickBot="1" x14ac:dyDescent="0.25">
      <c r="B167" s="4">
        <v>6</v>
      </c>
      <c r="C167" s="5" t="s">
        <v>842</v>
      </c>
      <c r="D167" s="6" t="s">
        <v>994</v>
      </c>
      <c r="E167" s="4" t="s">
        <v>794</v>
      </c>
      <c r="F167" s="4" t="s">
        <v>804</v>
      </c>
      <c r="G167" s="4" t="s">
        <v>328</v>
      </c>
      <c r="H167" s="4" t="s">
        <v>785</v>
      </c>
    </row>
    <row r="168" spans="2:8" ht="13.5" thickBot="1" x14ac:dyDescent="0.25">
      <c r="B168" s="4">
        <v>7</v>
      </c>
      <c r="C168" s="5" t="s">
        <v>846</v>
      </c>
      <c r="D168" s="5" t="s">
        <v>847</v>
      </c>
      <c r="E168" s="4" t="s">
        <v>783</v>
      </c>
      <c r="F168" s="4">
        <v>4</v>
      </c>
      <c r="G168" s="4" t="s">
        <v>328</v>
      </c>
      <c r="H168" s="4" t="s">
        <v>794</v>
      </c>
    </row>
    <row r="169" spans="2:8" ht="13.5" thickBot="1" x14ac:dyDescent="0.25">
      <c r="B169" s="4">
        <v>8</v>
      </c>
      <c r="C169" s="5" t="s">
        <v>848</v>
      </c>
      <c r="D169" s="5" t="s">
        <v>849</v>
      </c>
      <c r="E169" s="4" t="s">
        <v>794</v>
      </c>
      <c r="F169" s="4">
        <v>3</v>
      </c>
      <c r="G169" s="4" t="s">
        <v>328</v>
      </c>
      <c r="H169" s="4" t="s">
        <v>794</v>
      </c>
    </row>
    <row r="170" spans="2:8" ht="13.5" thickBot="1" x14ac:dyDescent="0.25">
      <c r="B170" s="4">
        <v>9</v>
      </c>
      <c r="C170" s="5" t="s">
        <v>850</v>
      </c>
      <c r="D170" s="5" t="s">
        <v>980</v>
      </c>
      <c r="E170" s="4" t="s">
        <v>794</v>
      </c>
      <c r="F170" s="4">
        <v>9</v>
      </c>
      <c r="G170" s="4" t="s">
        <v>328</v>
      </c>
      <c r="H170" s="4" t="s">
        <v>785</v>
      </c>
    </row>
    <row r="171" spans="2:8" ht="13.5" thickBot="1" x14ac:dyDescent="0.25">
      <c r="B171" s="4">
        <v>10</v>
      </c>
      <c r="C171" s="5" t="s">
        <v>854</v>
      </c>
      <c r="D171" s="5" t="s">
        <v>855</v>
      </c>
      <c r="E171" s="4" t="s">
        <v>794</v>
      </c>
      <c r="F171" s="4" t="s">
        <v>799</v>
      </c>
      <c r="G171" s="4" t="s">
        <v>328</v>
      </c>
      <c r="H171" s="4" t="s">
        <v>785</v>
      </c>
    </row>
    <row r="172" spans="2:8" ht="13.5" thickBot="1" x14ac:dyDescent="0.25">
      <c r="B172" s="4">
        <v>11</v>
      </c>
      <c r="C172" s="5" t="s">
        <v>995</v>
      </c>
      <c r="D172" s="5" t="s">
        <v>996</v>
      </c>
      <c r="E172" s="4" t="s">
        <v>794</v>
      </c>
      <c r="F172" s="4" t="s">
        <v>799</v>
      </c>
      <c r="G172" s="4" t="s">
        <v>328</v>
      </c>
      <c r="H172" s="4" t="s">
        <v>785</v>
      </c>
    </row>
    <row r="173" spans="2:8" ht="13.5" thickBot="1" x14ac:dyDescent="0.25">
      <c r="B173" s="4">
        <v>12</v>
      </c>
      <c r="C173" s="5" t="s">
        <v>858</v>
      </c>
      <c r="D173" s="5" t="s">
        <v>983</v>
      </c>
      <c r="E173" s="4" t="s">
        <v>794</v>
      </c>
      <c r="F173" s="4" t="s">
        <v>328</v>
      </c>
      <c r="G173" s="4">
        <v>2</v>
      </c>
      <c r="H173" s="4" t="s">
        <v>785</v>
      </c>
    </row>
    <row r="174" spans="2:8" ht="13.5" thickBot="1" x14ac:dyDescent="0.25">
      <c r="B174" s="4">
        <v>13</v>
      </c>
      <c r="C174" s="5" t="s">
        <v>865</v>
      </c>
      <c r="D174" s="5" t="s">
        <v>866</v>
      </c>
      <c r="E174" s="4" t="s">
        <v>794</v>
      </c>
      <c r="F174" s="4" t="s">
        <v>328</v>
      </c>
      <c r="G174" s="4">
        <v>2</v>
      </c>
      <c r="H174" s="4" t="s">
        <v>794</v>
      </c>
    </row>
    <row r="175" spans="2:8" ht="13.5" thickBot="1" x14ac:dyDescent="0.25">
      <c r="B175" s="4">
        <v>14</v>
      </c>
      <c r="C175" s="5" t="s">
        <v>966</v>
      </c>
      <c r="D175" s="5" t="s">
        <v>997</v>
      </c>
      <c r="E175" s="4" t="s">
        <v>794</v>
      </c>
      <c r="F175" s="4" t="s">
        <v>328</v>
      </c>
      <c r="G175" s="4">
        <v>2</v>
      </c>
      <c r="H175" s="4" t="s">
        <v>785</v>
      </c>
    </row>
    <row r="176" spans="2:8" ht="13.5" thickBot="1" x14ac:dyDescent="0.25">
      <c r="B176" s="4">
        <v>15</v>
      </c>
      <c r="C176" s="5" t="s">
        <v>968</v>
      </c>
      <c r="D176" s="5" t="s">
        <v>998</v>
      </c>
      <c r="E176" s="4" t="s">
        <v>794</v>
      </c>
      <c r="F176" s="4" t="s">
        <v>328</v>
      </c>
      <c r="G176" s="4">
        <v>2</v>
      </c>
      <c r="H176" s="4" t="s">
        <v>794</v>
      </c>
    </row>
    <row r="177" spans="2:8" ht="13.5" thickBot="1" x14ac:dyDescent="0.25">
      <c r="B177" s="4">
        <v>16</v>
      </c>
      <c r="C177" s="5" t="s">
        <v>970</v>
      </c>
      <c r="D177" s="5" t="s">
        <v>971</v>
      </c>
      <c r="E177" s="4" t="s">
        <v>794</v>
      </c>
      <c r="F177" s="4" t="s">
        <v>328</v>
      </c>
      <c r="G177" s="4">
        <v>2</v>
      </c>
      <c r="H177" s="4" t="s">
        <v>794</v>
      </c>
    </row>
    <row r="178" spans="2:8" ht="13.5" thickBot="1" x14ac:dyDescent="0.25">
      <c r="B178" s="4">
        <v>17</v>
      </c>
      <c r="C178" s="5" t="s">
        <v>972</v>
      </c>
      <c r="D178" s="5" t="s">
        <v>999</v>
      </c>
      <c r="E178" s="4" t="s">
        <v>794</v>
      </c>
      <c r="F178" s="4" t="s">
        <v>328</v>
      </c>
      <c r="G178" s="4">
        <v>2</v>
      </c>
      <c r="H178" s="4" t="s">
        <v>794</v>
      </c>
    </row>
    <row r="179" spans="2:8" ht="13.5" thickBot="1" x14ac:dyDescent="0.25">
      <c r="B179" s="4">
        <v>18</v>
      </c>
      <c r="C179" s="5" t="s">
        <v>900</v>
      </c>
      <c r="D179" s="5" t="s">
        <v>901</v>
      </c>
      <c r="E179" s="4" t="s">
        <v>794</v>
      </c>
      <c r="F179" s="4" t="s">
        <v>328</v>
      </c>
      <c r="G179" s="4">
        <v>2</v>
      </c>
      <c r="H179" s="4" t="s">
        <v>794</v>
      </c>
    </row>
    <row r="180" spans="2:8" ht="13.5" thickBot="1" x14ac:dyDescent="0.25">
      <c r="B180" s="4">
        <v>19</v>
      </c>
      <c r="C180" s="5" t="s">
        <v>904</v>
      </c>
      <c r="D180" s="5" t="s">
        <v>1000</v>
      </c>
      <c r="E180" s="4" t="s">
        <v>794</v>
      </c>
      <c r="F180" s="4" t="s">
        <v>328</v>
      </c>
      <c r="G180" s="4">
        <v>2</v>
      </c>
      <c r="H180" s="4" t="s">
        <v>794</v>
      </c>
    </row>
    <row r="181" spans="2:8" ht="13.5" thickBot="1" x14ac:dyDescent="0.25">
      <c r="B181" s="4">
        <v>20</v>
      </c>
      <c r="C181" s="5" t="s">
        <v>984</v>
      </c>
      <c r="D181" s="6" t="s">
        <v>1001</v>
      </c>
      <c r="E181" s="4" t="s">
        <v>783</v>
      </c>
      <c r="F181" s="4">
        <v>6</v>
      </c>
      <c r="G181" s="4" t="s">
        <v>328</v>
      </c>
      <c r="H181" s="4" t="s">
        <v>794</v>
      </c>
    </row>
    <row r="182" spans="2:8" ht="13.5" thickBot="1" x14ac:dyDescent="0.25">
      <c r="B182" s="4">
        <v>21</v>
      </c>
      <c r="C182" s="5" t="s">
        <v>809</v>
      </c>
      <c r="D182" s="5" t="s">
        <v>810</v>
      </c>
      <c r="E182" s="4" t="s">
        <v>794</v>
      </c>
      <c r="F182" s="4" t="s">
        <v>328</v>
      </c>
      <c r="G182" s="4">
        <v>2</v>
      </c>
      <c r="H182" s="4" t="s">
        <v>794</v>
      </c>
    </row>
    <row r="183" spans="2:8" ht="13.5" thickBot="1" x14ac:dyDescent="0.25">
      <c r="B183" s="4">
        <v>22</v>
      </c>
      <c r="C183" s="5" t="s">
        <v>817</v>
      </c>
      <c r="D183" s="5" t="s">
        <v>818</v>
      </c>
      <c r="E183" s="4" t="s">
        <v>794</v>
      </c>
      <c r="F183" s="4" t="s">
        <v>328</v>
      </c>
      <c r="G183" s="4">
        <v>2</v>
      </c>
      <c r="H183" s="4" t="s">
        <v>794</v>
      </c>
    </row>
    <row r="185" spans="2:8" ht="13.5" thickBot="1" x14ac:dyDescent="0.25">
      <c r="B185" s="10" t="s">
        <v>63</v>
      </c>
    </row>
    <row r="186" spans="2:8" ht="13.5" thickBot="1" x14ac:dyDescent="0.25">
      <c r="B186" s="11" t="s">
        <v>775</v>
      </c>
      <c r="C186" s="11" t="s">
        <v>776</v>
      </c>
      <c r="D186" s="11" t="s">
        <v>31</v>
      </c>
      <c r="E186" s="11" t="s">
        <v>777</v>
      </c>
      <c r="F186" s="11" t="s">
        <v>778</v>
      </c>
      <c r="G186" s="11" t="s">
        <v>779</v>
      </c>
      <c r="H186" s="11" t="s">
        <v>780</v>
      </c>
    </row>
    <row r="187" spans="2:8" ht="13.5" thickBot="1" x14ac:dyDescent="0.25">
      <c r="B187" s="12">
        <v>1</v>
      </c>
      <c r="C187" s="13" t="s">
        <v>781</v>
      </c>
      <c r="D187" s="14" t="s">
        <v>1002</v>
      </c>
      <c r="E187" s="12" t="s">
        <v>783</v>
      </c>
      <c r="F187" s="12" t="s">
        <v>784</v>
      </c>
      <c r="G187" s="12" t="s">
        <v>328</v>
      </c>
      <c r="H187" s="12" t="s">
        <v>785</v>
      </c>
    </row>
    <row r="188" spans="2:8" ht="13.5" thickBot="1" x14ac:dyDescent="0.25">
      <c r="B188" s="12">
        <v>2</v>
      </c>
      <c r="C188" s="13" t="s">
        <v>878</v>
      </c>
      <c r="D188" s="13" t="s">
        <v>879</v>
      </c>
      <c r="E188" s="12" t="s">
        <v>794</v>
      </c>
      <c r="F188" s="12">
        <v>4</v>
      </c>
      <c r="G188" s="12" t="s">
        <v>328</v>
      </c>
      <c r="H188" s="12" t="s">
        <v>785</v>
      </c>
    </row>
    <row r="189" spans="2:8" ht="13.5" thickBot="1" x14ac:dyDescent="0.25">
      <c r="B189" s="12">
        <v>3</v>
      </c>
      <c r="C189" s="13" t="s">
        <v>795</v>
      </c>
      <c r="D189" s="14" t="s">
        <v>796</v>
      </c>
      <c r="E189" s="12" t="s">
        <v>783</v>
      </c>
      <c r="F189" s="12">
        <v>60</v>
      </c>
      <c r="G189" s="12" t="s">
        <v>328</v>
      </c>
      <c r="H189" s="12" t="s">
        <v>785</v>
      </c>
    </row>
    <row r="190" spans="2:8" ht="13.5" thickBot="1" x14ac:dyDescent="0.25">
      <c r="B190" s="12">
        <v>4</v>
      </c>
      <c r="C190" s="13" t="s">
        <v>880</v>
      </c>
      <c r="D190" s="13" t="s">
        <v>881</v>
      </c>
      <c r="E190" s="12" t="s">
        <v>783</v>
      </c>
      <c r="F190" s="12" t="s">
        <v>328</v>
      </c>
      <c r="G190" s="12" t="s">
        <v>328</v>
      </c>
      <c r="H190" s="12" t="s">
        <v>794</v>
      </c>
    </row>
    <row r="191" spans="2:8" ht="13.5" thickBot="1" x14ac:dyDescent="0.25">
      <c r="B191" s="12">
        <v>5</v>
      </c>
      <c r="C191" s="13" t="s">
        <v>886</v>
      </c>
      <c r="D191" s="13" t="s">
        <v>887</v>
      </c>
      <c r="E191" s="12" t="s">
        <v>794</v>
      </c>
      <c r="F191" s="12" t="s">
        <v>328</v>
      </c>
      <c r="G191" s="12">
        <v>2</v>
      </c>
      <c r="H191" s="12" t="s">
        <v>785</v>
      </c>
    </row>
    <row r="192" spans="2:8" ht="13.5" thickBot="1" x14ac:dyDescent="0.25">
      <c r="B192" s="12">
        <v>6</v>
      </c>
      <c r="C192" s="13" t="s">
        <v>865</v>
      </c>
      <c r="D192" s="13" t="s">
        <v>888</v>
      </c>
      <c r="E192" s="12" t="s">
        <v>794</v>
      </c>
      <c r="F192" s="12" t="s">
        <v>328</v>
      </c>
      <c r="G192" s="12">
        <v>2</v>
      </c>
      <c r="H192" s="12" t="s">
        <v>794</v>
      </c>
    </row>
    <row r="193" spans="2:8" ht="13.5" thickBot="1" x14ac:dyDescent="0.25">
      <c r="B193" s="12">
        <v>7</v>
      </c>
      <c r="C193" s="13" t="s">
        <v>819</v>
      </c>
      <c r="D193" s="13" t="s">
        <v>1003</v>
      </c>
      <c r="E193" s="12" t="s">
        <v>783</v>
      </c>
      <c r="F193" s="12" t="s">
        <v>804</v>
      </c>
      <c r="G193" s="12" t="s">
        <v>328</v>
      </c>
      <c r="H193" s="12" t="s">
        <v>794</v>
      </c>
    </row>
    <row r="194" spans="2:8" x14ac:dyDescent="0.2">
      <c r="B194" s="56">
        <v>8</v>
      </c>
      <c r="C194" s="59" t="s">
        <v>821</v>
      </c>
      <c r="D194" s="15" t="s">
        <v>822</v>
      </c>
      <c r="E194" s="56" t="s">
        <v>783</v>
      </c>
      <c r="F194" s="56" t="s">
        <v>791</v>
      </c>
      <c r="G194" s="56" t="s">
        <v>328</v>
      </c>
      <c r="H194" s="56" t="s">
        <v>794</v>
      </c>
    </row>
    <row r="195" spans="2:8" x14ac:dyDescent="0.2">
      <c r="B195" s="57"/>
      <c r="C195" s="60"/>
      <c r="D195" s="16" t="s">
        <v>823</v>
      </c>
      <c r="E195" s="57"/>
      <c r="F195" s="57"/>
      <c r="G195" s="57"/>
      <c r="H195" s="57"/>
    </row>
    <row r="196" spans="2:8" ht="13.5" thickBot="1" x14ac:dyDescent="0.25">
      <c r="B196" s="58"/>
      <c r="C196" s="61"/>
      <c r="D196" s="17" t="s">
        <v>824</v>
      </c>
      <c r="E196" s="58"/>
      <c r="F196" s="58"/>
      <c r="G196" s="58"/>
      <c r="H196" s="58"/>
    </row>
    <row r="197" spans="2:8" ht="13.5" thickBot="1" x14ac:dyDescent="0.25">
      <c r="B197" s="12">
        <v>9</v>
      </c>
      <c r="C197" s="13" t="s">
        <v>802</v>
      </c>
      <c r="D197" s="13" t="s">
        <v>1004</v>
      </c>
      <c r="E197" s="12" t="s">
        <v>794</v>
      </c>
      <c r="F197" s="12" t="s">
        <v>804</v>
      </c>
      <c r="G197" s="12" t="s">
        <v>328</v>
      </c>
      <c r="H197" s="12" t="s">
        <v>785</v>
      </c>
    </row>
    <row r="198" spans="2:8" ht="13.5" thickBot="1" x14ac:dyDescent="0.25">
      <c r="B198" s="12">
        <v>10</v>
      </c>
      <c r="C198" s="13" t="s">
        <v>805</v>
      </c>
      <c r="D198" s="13" t="s">
        <v>1005</v>
      </c>
      <c r="E198" s="12" t="s">
        <v>794</v>
      </c>
      <c r="F198" s="12" t="s">
        <v>328</v>
      </c>
      <c r="G198" s="12">
        <v>2</v>
      </c>
      <c r="H198" s="12" t="s">
        <v>794</v>
      </c>
    </row>
    <row r="199" spans="2:8" ht="13.5" thickBot="1" x14ac:dyDescent="0.25">
      <c r="B199" s="12">
        <v>11</v>
      </c>
      <c r="C199" s="13" t="s">
        <v>807</v>
      </c>
      <c r="D199" s="13" t="s">
        <v>1006</v>
      </c>
      <c r="E199" s="12" t="s">
        <v>794</v>
      </c>
      <c r="F199" s="12" t="s">
        <v>328</v>
      </c>
      <c r="G199" s="12">
        <v>2</v>
      </c>
      <c r="H199" s="12" t="s">
        <v>794</v>
      </c>
    </row>
    <row r="200" spans="2:8" ht="13.5" thickBot="1" x14ac:dyDescent="0.25">
      <c r="B200" s="12">
        <v>12</v>
      </c>
      <c r="C200" s="13" t="s">
        <v>809</v>
      </c>
      <c r="D200" s="13" t="s">
        <v>810</v>
      </c>
      <c r="E200" s="12" t="s">
        <v>794</v>
      </c>
      <c r="F200" s="12" t="s">
        <v>328</v>
      </c>
      <c r="G200" s="12">
        <v>2</v>
      </c>
      <c r="H200" s="12" t="s">
        <v>794</v>
      </c>
    </row>
    <row r="201" spans="2:8" ht="13.5" thickBot="1" x14ac:dyDescent="0.25">
      <c r="B201" s="12">
        <v>13</v>
      </c>
      <c r="C201" s="13" t="s">
        <v>811</v>
      </c>
      <c r="D201" s="13" t="s">
        <v>1007</v>
      </c>
      <c r="E201" s="12" t="s">
        <v>794</v>
      </c>
      <c r="F201" s="12" t="s">
        <v>804</v>
      </c>
      <c r="G201" s="12" t="s">
        <v>328</v>
      </c>
      <c r="H201" s="12" t="s">
        <v>785</v>
      </c>
    </row>
    <row r="202" spans="2:8" ht="13.5" thickBot="1" x14ac:dyDescent="0.25">
      <c r="B202" s="12">
        <v>14</v>
      </c>
      <c r="C202" s="13" t="s">
        <v>813</v>
      </c>
      <c r="D202" s="13" t="s">
        <v>869</v>
      </c>
      <c r="E202" s="12" t="s">
        <v>794</v>
      </c>
      <c r="F202" s="12"/>
      <c r="G202" s="12">
        <v>2</v>
      </c>
      <c r="H202" s="12" t="s">
        <v>794</v>
      </c>
    </row>
    <row r="203" spans="2:8" ht="13.5" thickBot="1" x14ac:dyDescent="0.25">
      <c r="B203" s="12">
        <v>15</v>
      </c>
      <c r="C203" s="13" t="s">
        <v>815</v>
      </c>
      <c r="D203" s="13" t="s">
        <v>933</v>
      </c>
      <c r="E203" s="12" t="s">
        <v>794</v>
      </c>
      <c r="F203" s="12">
        <v>6</v>
      </c>
      <c r="G203" s="12">
        <v>2</v>
      </c>
      <c r="H203" s="12" t="s">
        <v>794</v>
      </c>
    </row>
    <row r="204" spans="2:8" ht="13.5" thickBot="1" x14ac:dyDescent="0.25">
      <c r="B204" s="12">
        <v>16</v>
      </c>
      <c r="C204" s="13" t="s">
        <v>817</v>
      </c>
      <c r="D204" s="13" t="s">
        <v>818</v>
      </c>
      <c r="E204" s="12" t="s">
        <v>794</v>
      </c>
      <c r="F204" s="12" t="s">
        <v>328</v>
      </c>
      <c r="G204" s="12">
        <v>2</v>
      </c>
      <c r="H204" s="12" t="s">
        <v>794</v>
      </c>
    </row>
    <row r="205" spans="2:8" ht="13.5" thickBot="1" x14ac:dyDescent="0.25">
      <c r="B205" s="12">
        <v>17</v>
      </c>
      <c r="C205" s="13" t="s">
        <v>825</v>
      </c>
      <c r="D205" s="13" t="s">
        <v>826</v>
      </c>
      <c r="E205" s="12" t="s">
        <v>785</v>
      </c>
      <c r="F205" s="12">
        <v>255</v>
      </c>
      <c r="G205" s="12" t="s">
        <v>328</v>
      </c>
      <c r="H205" s="12" t="s">
        <v>794</v>
      </c>
    </row>
    <row r="206" spans="2:8" ht="13.5" thickBot="1" x14ac:dyDescent="0.25">
      <c r="B206" s="12">
        <v>18</v>
      </c>
      <c r="C206" s="13" t="s">
        <v>827</v>
      </c>
      <c r="D206" s="13" t="s">
        <v>1008</v>
      </c>
      <c r="E206" s="12" t="s">
        <v>783</v>
      </c>
      <c r="F206" s="12">
        <v>255</v>
      </c>
      <c r="G206" s="12" t="s">
        <v>328</v>
      </c>
      <c r="H206" s="12" t="s">
        <v>794</v>
      </c>
    </row>
    <row r="208" spans="2:8" ht="13.5" thickBot="1" x14ac:dyDescent="0.25">
      <c r="B208" s="10" t="s">
        <v>169</v>
      </c>
    </row>
    <row r="209" spans="2:8" ht="13.5" thickBot="1" x14ac:dyDescent="0.25">
      <c r="B209" s="3" t="s">
        <v>775</v>
      </c>
      <c r="C209" s="3" t="s">
        <v>776</v>
      </c>
      <c r="D209" s="3" t="s">
        <v>31</v>
      </c>
      <c r="E209" s="3" t="s">
        <v>777</v>
      </c>
      <c r="F209" s="3" t="s">
        <v>778</v>
      </c>
      <c r="G209" s="3" t="s">
        <v>779</v>
      </c>
      <c r="H209" s="3" t="s">
        <v>780</v>
      </c>
    </row>
    <row r="210" spans="2:8" ht="13.5" thickBot="1" x14ac:dyDescent="0.25">
      <c r="B210" s="4">
        <v>1</v>
      </c>
      <c r="C210" s="5" t="s">
        <v>781</v>
      </c>
      <c r="D210" s="6" t="s">
        <v>1009</v>
      </c>
      <c r="E210" s="4" t="s">
        <v>783</v>
      </c>
      <c r="F210" s="4" t="s">
        <v>784</v>
      </c>
      <c r="G210" s="4" t="s">
        <v>328</v>
      </c>
      <c r="H210" s="4" t="s">
        <v>785</v>
      </c>
    </row>
    <row r="211" spans="2:8" ht="13.5" thickBot="1" x14ac:dyDescent="0.25">
      <c r="B211" s="4">
        <v>2</v>
      </c>
      <c r="C211" s="5" t="s">
        <v>802</v>
      </c>
      <c r="D211" s="5" t="s">
        <v>1010</v>
      </c>
      <c r="E211" s="4" t="s">
        <v>794</v>
      </c>
      <c r="F211" s="4" t="s">
        <v>804</v>
      </c>
      <c r="G211" s="4" t="s">
        <v>328</v>
      </c>
      <c r="H211" s="4" t="s">
        <v>785</v>
      </c>
    </row>
    <row r="212" spans="2:8" ht="13.5" thickBot="1" x14ac:dyDescent="0.25">
      <c r="B212" s="4">
        <v>3</v>
      </c>
      <c r="C212" s="5" t="s">
        <v>886</v>
      </c>
      <c r="D212" s="5" t="s">
        <v>1011</v>
      </c>
      <c r="E212" s="4" t="s">
        <v>794</v>
      </c>
      <c r="F212" s="4" t="s">
        <v>328</v>
      </c>
      <c r="G212" s="4">
        <v>2</v>
      </c>
      <c r="H212" s="4" t="s">
        <v>785</v>
      </c>
    </row>
    <row r="213" spans="2:8" ht="13.5" thickBot="1" x14ac:dyDescent="0.25">
      <c r="B213" s="4">
        <v>4</v>
      </c>
      <c r="C213" s="5" t="s">
        <v>819</v>
      </c>
      <c r="D213" s="5" t="s">
        <v>1012</v>
      </c>
      <c r="E213" s="4" t="s">
        <v>783</v>
      </c>
      <c r="F213" s="4" t="s">
        <v>804</v>
      </c>
      <c r="G213" s="4" t="s">
        <v>328</v>
      </c>
      <c r="H213" s="4" t="s">
        <v>794</v>
      </c>
    </row>
    <row r="214" spans="2:8" ht="13.5" thickBot="1" x14ac:dyDescent="0.25">
      <c r="B214" s="4">
        <v>5</v>
      </c>
      <c r="C214" s="5" t="s">
        <v>805</v>
      </c>
      <c r="D214" s="5" t="s">
        <v>867</v>
      </c>
      <c r="E214" s="4" t="s">
        <v>794</v>
      </c>
      <c r="F214" s="4" t="s">
        <v>328</v>
      </c>
      <c r="G214" s="4">
        <v>2</v>
      </c>
      <c r="H214" s="4" t="s">
        <v>794</v>
      </c>
    </row>
    <row r="215" spans="2:8" ht="13.5" thickBot="1" x14ac:dyDescent="0.25">
      <c r="B215" s="4">
        <v>6</v>
      </c>
      <c r="C215" s="5" t="s">
        <v>807</v>
      </c>
      <c r="D215" s="5" t="s">
        <v>1006</v>
      </c>
      <c r="E215" s="4" t="s">
        <v>794</v>
      </c>
      <c r="F215" s="4">
        <v>8</v>
      </c>
      <c r="G215" s="4">
        <v>4</v>
      </c>
      <c r="H215" s="4" t="s">
        <v>794</v>
      </c>
    </row>
    <row r="216" spans="2:8" ht="13.5" thickBot="1" x14ac:dyDescent="0.25">
      <c r="B216" s="4">
        <v>7</v>
      </c>
      <c r="C216" s="5" t="s">
        <v>809</v>
      </c>
      <c r="D216" s="5" t="s">
        <v>810</v>
      </c>
      <c r="E216" s="4" t="s">
        <v>794</v>
      </c>
      <c r="F216" s="4" t="s">
        <v>328</v>
      </c>
      <c r="G216" s="4">
        <v>2</v>
      </c>
      <c r="H216" s="4" t="s">
        <v>794</v>
      </c>
    </row>
    <row r="217" spans="2:8" ht="13.5" thickBot="1" x14ac:dyDescent="0.25">
      <c r="B217" s="4">
        <v>8</v>
      </c>
      <c r="C217" s="5" t="s">
        <v>825</v>
      </c>
      <c r="D217" s="5" t="s">
        <v>826</v>
      </c>
      <c r="E217" s="4" t="s">
        <v>783</v>
      </c>
      <c r="F217" s="4">
        <v>255</v>
      </c>
      <c r="G217" s="4" t="s">
        <v>328</v>
      </c>
      <c r="H217" s="4" t="s">
        <v>794</v>
      </c>
    </row>
    <row r="219" spans="2:8" ht="13.5" thickBot="1" x14ac:dyDescent="0.25">
      <c r="B219" s="10" t="s">
        <v>171</v>
      </c>
    </row>
    <row r="220" spans="2:8" ht="13.5" thickBot="1" x14ac:dyDescent="0.25">
      <c r="B220" s="3" t="s">
        <v>775</v>
      </c>
      <c r="C220" s="3" t="s">
        <v>776</v>
      </c>
      <c r="D220" s="3" t="s">
        <v>31</v>
      </c>
      <c r="E220" s="3" t="s">
        <v>777</v>
      </c>
      <c r="F220" s="3" t="s">
        <v>778</v>
      </c>
      <c r="G220" s="3" t="s">
        <v>779</v>
      </c>
      <c r="H220" s="3" t="s">
        <v>780</v>
      </c>
    </row>
    <row r="221" spans="2:8" ht="13.5" thickBot="1" x14ac:dyDescent="0.25">
      <c r="B221" s="4">
        <v>1</v>
      </c>
      <c r="C221" s="5" t="s">
        <v>781</v>
      </c>
      <c r="D221" s="6" t="s">
        <v>1013</v>
      </c>
      <c r="E221" s="4" t="s">
        <v>783</v>
      </c>
      <c r="F221" s="4" t="s">
        <v>784</v>
      </c>
      <c r="G221" s="4" t="s">
        <v>328</v>
      </c>
      <c r="H221" s="4" t="s">
        <v>785</v>
      </c>
    </row>
    <row r="222" spans="2:8" ht="13.5" thickBot="1" x14ac:dyDescent="0.25">
      <c r="B222" s="4">
        <v>2</v>
      </c>
      <c r="C222" s="5" t="s">
        <v>811</v>
      </c>
      <c r="D222" s="5" t="s">
        <v>1014</v>
      </c>
      <c r="E222" s="4" t="s">
        <v>794</v>
      </c>
      <c r="F222" s="4" t="s">
        <v>804</v>
      </c>
      <c r="G222" s="4" t="s">
        <v>328</v>
      </c>
      <c r="H222" s="4" t="s">
        <v>785</v>
      </c>
    </row>
    <row r="223" spans="2:8" ht="13.5" thickBot="1" x14ac:dyDescent="0.25">
      <c r="B223" s="4">
        <v>3</v>
      </c>
      <c r="C223" s="5" t="s">
        <v>886</v>
      </c>
      <c r="D223" s="5" t="s">
        <v>1011</v>
      </c>
      <c r="E223" s="4" t="s">
        <v>794</v>
      </c>
      <c r="F223" s="4" t="s">
        <v>328</v>
      </c>
      <c r="G223" s="4">
        <v>2</v>
      </c>
      <c r="H223" s="4" t="s">
        <v>785</v>
      </c>
    </row>
    <row r="224" spans="2:8" ht="13.5" thickBot="1" x14ac:dyDescent="0.25">
      <c r="B224" s="4">
        <v>4</v>
      </c>
      <c r="C224" s="5" t="s">
        <v>819</v>
      </c>
      <c r="D224" s="5" t="s">
        <v>1012</v>
      </c>
      <c r="E224" s="4" t="s">
        <v>783</v>
      </c>
      <c r="F224" s="4" t="s">
        <v>804</v>
      </c>
      <c r="G224" s="4" t="s">
        <v>328</v>
      </c>
      <c r="H224" s="4" t="s">
        <v>794</v>
      </c>
    </row>
    <row r="225" spans="2:8" ht="13.5" thickBot="1" x14ac:dyDescent="0.25">
      <c r="B225" s="4">
        <v>5</v>
      </c>
      <c r="C225" s="5" t="s">
        <v>813</v>
      </c>
      <c r="D225" s="5" t="s">
        <v>869</v>
      </c>
      <c r="E225" s="4" t="s">
        <v>794</v>
      </c>
      <c r="F225" s="4" t="s">
        <v>328</v>
      </c>
      <c r="G225" s="4">
        <v>2</v>
      </c>
      <c r="H225" s="4" t="s">
        <v>794</v>
      </c>
    </row>
    <row r="226" spans="2:8" ht="13.5" thickBot="1" x14ac:dyDescent="0.25">
      <c r="B226" s="4">
        <v>6</v>
      </c>
      <c r="C226" s="5" t="s">
        <v>815</v>
      </c>
      <c r="D226" s="5" t="s">
        <v>1015</v>
      </c>
      <c r="E226" s="4" t="s">
        <v>794</v>
      </c>
      <c r="F226" s="4">
        <v>8</v>
      </c>
      <c r="G226" s="4">
        <v>4</v>
      </c>
      <c r="H226" s="4" t="s">
        <v>794</v>
      </c>
    </row>
    <row r="227" spans="2:8" ht="13.5" thickBot="1" x14ac:dyDescent="0.25">
      <c r="B227" s="4">
        <v>7</v>
      </c>
      <c r="C227" s="5" t="s">
        <v>817</v>
      </c>
      <c r="D227" s="5" t="s">
        <v>818</v>
      </c>
      <c r="E227" s="4" t="s">
        <v>794</v>
      </c>
      <c r="F227" s="4" t="s">
        <v>328</v>
      </c>
      <c r="G227" s="4">
        <v>2</v>
      </c>
      <c r="H227" s="4" t="s">
        <v>794</v>
      </c>
    </row>
    <row r="228" spans="2:8" ht="13.5" thickBot="1" x14ac:dyDescent="0.25">
      <c r="B228" s="4">
        <v>8</v>
      </c>
      <c r="C228" s="5" t="s">
        <v>825</v>
      </c>
      <c r="D228" s="5" t="s">
        <v>826</v>
      </c>
      <c r="E228" s="4" t="s">
        <v>783</v>
      </c>
      <c r="F228" s="4">
        <v>255</v>
      </c>
      <c r="G228" s="4" t="s">
        <v>328</v>
      </c>
      <c r="H228" s="4" t="s">
        <v>794</v>
      </c>
    </row>
    <row r="230" spans="2:8" ht="13.5" thickBot="1" x14ac:dyDescent="0.25">
      <c r="B230" s="10" t="s">
        <v>117</v>
      </c>
    </row>
    <row r="231" spans="2:8" ht="13.5" thickBot="1" x14ac:dyDescent="0.25">
      <c r="B231" s="3" t="s">
        <v>775</v>
      </c>
      <c r="C231" s="3" t="s">
        <v>776</v>
      </c>
      <c r="D231" s="3" t="s">
        <v>31</v>
      </c>
      <c r="E231" s="3" t="s">
        <v>777</v>
      </c>
      <c r="F231" s="3" t="s">
        <v>778</v>
      </c>
      <c r="G231" s="3" t="s">
        <v>779</v>
      </c>
      <c r="H231" s="3" t="s">
        <v>780</v>
      </c>
    </row>
    <row r="232" spans="2:8" ht="13.5" thickBot="1" x14ac:dyDescent="0.25">
      <c r="B232" s="4">
        <v>1</v>
      </c>
      <c r="C232" s="5" t="s">
        <v>781</v>
      </c>
      <c r="D232" s="6" t="s">
        <v>1016</v>
      </c>
      <c r="E232" s="4" t="s">
        <v>783</v>
      </c>
      <c r="F232" s="4" t="s">
        <v>784</v>
      </c>
      <c r="G232" s="4" t="s">
        <v>328</v>
      </c>
      <c r="H232" s="4" t="s">
        <v>785</v>
      </c>
    </row>
    <row r="233" spans="2:8" ht="13.5" thickBot="1" x14ac:dyDescent="0.25">
      <c r="B233" s="4">
        <v>2</v>
      </c>
      <c r="C233" s="5" t="s">
        <v>802</v>
      </c>
      <c r="D233" s="5" t="s">
        <v>1010</v>
      </c>
      <c r="E233" s="4" t="s">
        <v>794</v>
      </c>
      <c r="F233" s="4" t="s">
        <v>804</v>
      </c>
      <c r="G233" s="4" t="s">
        <v>328</v>
      </c>
      <c r="H233" s="4" t="s">
        <v>785</v>
      </c>
    </row>
    <row r="234" spans="2:8" ht="13.5" thickBot="1" x14ac:dyDescent="0.25">
      <c r="B234" s="4">
        <v>3</v>
      </c>
      <c r="C234" s="5" t="s">
        <v>886</v>
      </c>
      <c r="D234" s="5" t="s">
        <v>1017</v>
      </c>
      <c r="E234" s="4" t="s">
        <v>794</v>
      </c>
      <c r="F234" s="4" t="s">
        <v>328</v>
      </c>
      <c r="G234" s="4">
        <v>2</v>
      </c>
      <c r="H234" s="4" t="s">
        <v>785</v>
      </c>
    </row>
    <row r="235" spans="2:8" ht="13.5" thickBot="1" x14ac:dyDescent="0.25">
      <c r="B235" s="4">
        <v>4</v>
      </c>
      <c r="C235" s="5" t="s">
        <v>819</v>
      </c>
      <c r="D235" s="5" t="s">
        <v>1012</v>
      </c>
      <c r="E235" s="4" t="s">
        <v>783</v>
      </c>
      <c r="F235" s="4" t="s">
        <v>804</v>
      </c>
      <c r="G235" s="4" t="s">
        <v>328</v>
      </c>
      <c r="H235" s="4" t="s">
        <v>794</v>
      </c>
    </row>
    <row r="236" spans="2:8" ht="13.5" thickBot="1" x14ac:dyDescent="0.25">
      <c r="B236" s="4">
        <v>5</v>
      </c>
      <c r="C236" s="5" t="s">
        <v>805</v>
      </c>
      <c r="D236" s="5" t="s">
        <v>867</v>
      </c>
      <c r="E236" s="4" t="s">
        <v>794</v>
      </c>
      <c r="F236" s="4" t="s">
        <v>328</v>
      </c>
      <c r="G236" s="4">
        <v>2</v>
      </c>
      <c r="H236" s="4" t="s">
        <v>785</v>
      </c>
    </row>
    <row r="237" spans="2:8" ht="13.5" thickBot="1" x14ac:dyDescent="0.25">
      <c r="B237" s="4">
        <v>6</v>
      </c>
      <c r="C237" s="5" t="s">
        <v>807</v>
      </c>
      <c r="D237" s="5" t="s">
        <v>1006</v>
      </c>
      <c r="E237" s="4" t="s">
        <v>794</v>
      </c>
      <c r="F237" s="4">
        <v>8</v>
      </c>
      <c r="G237" s="4">
        <v>4</v>
      </c>
      <c r="H237" s="4" t="s">
        <v>785</v>
      </c>
    </row>
    <row r="238" spans="2:8" ht="13.5" thickBot="1" x14ac:dyDescent="0.25">
      <c r="B238" s="4">
        <v>7</v>
      </c>
      <c r="C238" s="5" t="s">
        <v>809</v>
      </c>
      <c r="D238" s="5" t="s">
        <v>810</v>
      </c>
      <c r="E238" s="4" t="s">
        <v>794</v>
      </c>
      <c r="F238" s="4" t="s">
        <v>328</v>
      </c>
      <c r="G238" s="4">
        <v>2</v>
      </c>
      <c r="H238" s="4" t="s">
        <v>785</v>
      </c>
    </row>
    <row r="239" spans="2:8" ht="13.5" thickBot="1" x14ac:dyDescent="0.25">
      <c r="B239" s="4">
        <v>8</v>
      </c>
      <c r="C239" s="5" t="s">
        <v>825</v>
      </c>
      <c r="D239" s="5" t="s">
        <v>826</v>
      </c>
      <c r="E239" s="4" t="s">
        <v>783</v>
      </c>
      <c r="F239" s="4">
        <v>255</v>
      </c>
      <c r="G239" s="4" t="s">
        <v>328</v>
      </c>
      <c r="H239" s="4" t="s">
        <v>794</v>
      </c>
    </row>
    <row r="241" spans="2:8" ht="13.5" thickBot="1" x14ac:dyDescent="0.25">
      <c r="B241" s="10" t="s">
        <v>119</v>
      </c>
    </row>
    <row r="242" spans="2:8" ht="13.5" thickBot="1" x14ac:dyDescent="0.25">
      <c r="B242" s="3" t="s">
        <v>775</v>
      </c>
      <c r="C242" s="3" t="s">
        <v>776</v>
      </c>
      <c r="D242" s="3" t="s">
        <v>31</v>
      </c>
      <c r="E242" s="3" t="s">
        <v>777</v>
      </c>
      <c r="F242" s="3" t="s">
        <v>778</v>
      </c>
      <c r="G242" s="3" t="s">
        <v>779</v>
      </c>
      <c r="H242" s="3" t="s">
        <v>780</v>
      </c>
    </row>
    <row r="243" spans="2:8" ht="13.5" thickBot="1" x14ac:dyDescent="0.25">
      <c r="B243" s="4">
        <v>1</v>
      </c>
      <c r="C243" s="5" t="s">
        <v>781</v>
      </c>
      <c r="D243" s="6" t="s">
        <v>1018</v>
      </c>
      <c r="E243" s="4" t="s">
        <v>783</v>
      </c>
      <c r="F243" s="4" t="s">
        <v>784</v>
      </c>
      <c r="G243" s="4" t="s">
        <v>328</v>
      </c>
      <c r="H243" s="4" t="s">
        <v>785</v>
      </c>
    </row>
    <row r="244" spans="2:8" ht="13.5" thickBot="1" x14ac:dyDescent="0.25">
      <c r="B244" s="4">
        <v>2</v>
      </c>
      <c r="C244" s="5" t="s">
        <v>811</v>
      </c>
      <c r="D244" s="5" t="s">
        <v>1014</v>
      </c>
      <c r="E244" s="4" t="s">
        <v>794</v>
      </c>
      <c r="F244" s="4" t="s">
        <v>804</v>
      </c>
      <c r="G244" s="4" t="s">
        <v>328</v>
      </c>
      <c r="H244" s="4" t="s">
        <v>785</v>
      </c>
    </row>
    <row r="245" spans="2:8" ht="13.5" thickBot="1" x14ac:dyDescent="0.25">
      <c r="B245" s="4">
        <v>3</v>
      </c>
      <c r="C245" s="5" t="s">
        <v>886</v>
      </c>
      <c r="D245" s="5" t="s">
        <v>1017</v>
      </c>
      <c r="E245" s="4" t="s">
        <v>794</v>
      </c>
      <c r="F245" s="4" t="s">
        <v>328</v>
      </c>
      <c r="G245" s="4">
        <v>2</v>
      </c>
      <c r="H245" s="4" t="s">
        <v>785</v>
      </c>
    </row>
    <row r="246" spans="2:8" ht="13.5" thickBot="1" x14ac:dyDescent="0.25">
      <c r="B246" s="4">
        <v>4</v>
      </c>
      <c r="C246" s="5" t="s">
        <v>819</v>
      </c>
      <c r="D246" s="5" t="s">
        <v>1012</v>
      </c>
      <c r="E246" s="4" t="s">
        <v>783</v>
      </c>
      <c r="F246" s="4" t="s">
        <v>804</v>
      </c>
      <c r="G246" s="4" t="s">
        <v>328</v>
      </c>
      <c r="H246" s="4" t="s">
        <v>794</v>
      </c>
    </row>
    <row r="247" spans="2:8" ht="13.5" thickBot="1" x14ac:dyDescent="0.25">
      <c r="B247" s="4">
        <v>5</v>
      </c>
      <c r="C247" s="5" t="s">
        <v>813</v>
      </c>
      <c r="D247" s="5" t="s">
        <v>869</v>
      </c>
      <c r="E247" s="4" t="s">
        <v>794</v>
      </c>
      <c r="F247" s="4" t="s">
        <v>328</v>
      </c>
      <c r="G247" s="4">
        <v>2</v>
      </c>
      <c r="H247" s="4" t="s">
        <v>785</v>
      </c>
    </row>
    <row r="248" spans="2:8" ht="13.5" thickBot="1" x14ac:dyDescent="0.25">
      <c r="B248" s="4">
        <v>6</v>
      </c>
      <c r="C248" s="5" t="s">
        <v>807</v>
      </c>
      <c r="D248" s="5" t="s">
        <v>1015</v>
      </c>
      <c r="E248" s="4" t="s">
        <v>794</v>
      </c>
      <c r="F248" s="4">
        <v>8</v>
      </c>
      <c r="G248" s="4">
        <v>4</v>
      </c>
      <c r="H248" s="4" t="s">
        <v>785</v>
      </c>
    </row>
    <row r="249" spans="2:8" ht="13.5" thickBot="1" x14ac:dyDescent="0.25">
      <c r="B249" s="4">
        <v>7</v>
      </c>
      <c r="C249" s="5" t="s">
        <v>809</v>
      </c>
      <c r="D249" s="5" t="s">
        <v>818</v>
      </c>
      <c r="E249" s="4" t="s">
        <v>794</v>
      </c>
      <c r="F249" s="4" t="s">
        <v>328</v>
      </c>
      <c r="G249" s="4">
        <v>2</v>
      </c>
      <c r="H249" s="4" t="s">
        <v>785</v>
      </c>
    </row>
    <row r="250" spans="2:8" ht="13.5" thickBot="1" x14ac:dyDescent="0.25">
      <c r="B250" s="4">
        <v>8</v>
      </c>
      <c r="C250" s="5" t="s">
        <v>825</v>
      </c>
      <c r="D250" s="5" t="s">
        <v>826</v>
      </c>
      <c r="E250" s="4" t="s">
        <v>783</v>
      </c>
      <c r="F250" s="4">
        <v>255</v>
      </c>
      <c r="G250" s="4" t="s">
        <v>328</v>
      </c>
      <c r="H250" s="4" t="s">
        <v>794</v>
      </c>
    </row>
    <row r="252" spans="2:8" ht="13.5" thickBot="1" x14ac:dyDescent="0.25">
      <c r="B252" s="10" t="s">
        <v>68</v>
      </c>
    </row>
    <row r="253" spans="2:8" ht="13.5" thickBot="1" x14ac:dyDescent="0.25">
      <c r="B253" s="3" t="s">
        <v>775</v>
      </c>
      <c r="C253" s="3" t="s">
        <v>776</v>
      </c>
      <c r="D253" s="3" t="s">
        <v>31</v>
      </c>
      <c r="E253" s="3" t="s">
        <v>777</v>
      </c>
      <c r="F253" s="3" t="s">
        <v>778</v>
      </c>
      <c r="G253" s="3" t="s">
        <v>779</v>
      </c>
      <c r="H253" s="3" t="s">
        <v>780</v>
      </c>
    </row>
    <row r="254" spans="2:8" ht="13.5" thickBot="1" x14ac:dyDescent="0.25">
      <c r="B254" s="4">
        <v>1</v>
      </c>
      <c r="C254" s="5" t="s">
        <v>781</v>
      </c>
      <c r="D254" s="6" t="s">
        <v>1019</v>
      </c>
      <c r="E254" s="4" t="s">
        <v>783</v>
      </c>
      <c r="F254" s="4">
        <v>4</v>
      </c>
      <c r="G254" s="4" t="s">
        <v>328</v>
      </c>
      <c r="H254" s="4" t="s">
        <v>785</v>
      </c>
    </row>
    <row r="255" spans="2:8" x14ac:dyDescent="0.2">
      <c r="B255" s="50">
        <v>2</v>
      </c>
      <c r="C255" s="53" t="s">
        <v>786</v>
      </c>
      <c r="D255" s="7" t="s">
        <v>832</v>
      </c>
      <c r="E255" s="50" t="s">
        <v>783</v>
      </c>
      <c r="F255" s="50" t="s">
        <v>791</v>
      </c>
      <c r="G255" s="50" t="s">
        <v>328</v>
      </c>
      <c r="H255" s="50" t="s">
        <v>785</v>
      </c>
    </row>
    <row r="256" spans="2:8" x14ac:dyDescent="0.2">
      <c r="B256" s="51"/>
      <c r="C256" s="54"/>
      <c r="D256" s="8" t="s">
        <v>1020</v>
      </c>
      <c r="E256" s="51"/>
      <c r="F256" s="51"/>
      <c r="G256" s="51"/>
      <c r="H256" s="51"/>
    </row>
    <row r="257" spans="2:8" ht="13.5" thickBot="1" x14ac:dyDescent="0.25">
      <c r="B257" s="52"/>
      <c r="C257" s="55"/>
      <c r="D257" s="9" t="s">
        <v>1021</v>
      </c>
      <c r="E257" s="52"/>
      <c r="F257" s="52"/>
      <c r="G257" s="52"/>
      <c r="H257" s="52"/>
    </row>
    <row r="258" spans="2:8" x14ac:dyDescent="0.2">
      <c r="B258" s="50">
        <v>3</v>
      </c>
      <c r="C258" s="53" t="s">
        <v>835</v>
      </c>
      <c r="D258" s="7" t="s">
        <v>836</v>
      </c>
      <c r="E258" s="50" t="s">
        <v>783</v>
      </c>
      <c r="F258" s="50" t="s">
        <v>791</v>
      </c>
      <c r="G258" s="50" t="s">
        <v>328</v>
      </c>
      <c r="H258" s="50" t="s">
        <v>785</v>
      </c>
    </row>
    <row r="259" spans="2:8" x14ac:dyDescent="0.2">
      <c r="B259" s="51"/>
      <c r="C259" s="54"/>
      <c r="D259" s="8" t="s">
        <v>991</v>
      </c>
      <c r="E259" s="51"/>
      <c r="F259" s="51"/>
      <c r="G259" s="51"/>
      <c r="H259" s="51"/>
    </row>
    <row r="260" spans="2:8" ht="13.5" thickBot="1" x14ac:dyDescent="0.25">
      <c r="B260" s="52"/>
      <c r="C260" s="55"/>
      <c r="D260" s="9" t="s">
        <v>992</v>
      </c>
      <c r="E260" s="52"/>
      <c r="F260" s="52"/>
      <c r="G260" s="52"/>
      <c r="H260" s="52"/>
    </row>
    <row r="261" spans="2:8" x14ac:dyDescent="0.2">
      <c r="B261" s="50">
        <v>4</v>
      </c>
      <c r="C261" s="53" t="s">
        <v>792</v>
      </c>
      <c r="D261" s="19" t="s">
        <v>839</v>
      </c>
      <c r="E261" s="50" t="s">
        <v>783</v>
      </c>
      <c r="F261" s="50">
        <v>60</v>
      </c>
      <c r="G261" s="50" t="s">
        <v>328</v>
      </c>
      <c r="H261" s="50" t="s">
        <v>785</v>
      </c>
    </row>
    <row r="262" spans="2:8" x14ac:dyDescent="0.2">
      <c r="B262" s="51"/>
      <c r="C262" s="54"/>
      <c r="D262" s="8" t="s">
        <v>1022</v>
      </c>
      <c r="E262" s="51"/>
      <c r="F262" s="51"/>
      <c r="G262" s="51"/>
      <c r="H262" s="51"/>
    </row>
    <row r="263" spans="2:8" ht="13.5" thickBot="1" x14ac:dyDescent="0.25">
      <c r="B263" s="52"/>
      <c r="C263" s="55"/>
      <c r="D263" s="9" t="s">
        <v>1023</v>
      </c>
      <c r="E263" s="52"/>
      <c r="F263" s="52"/>
      <c r="G263" s="52"/>
      <c r="H263" s="52"/>
    </row>
    <row r="264" spans="2:8" ht="13.5" thickBot="1" x14ac:dyDescent="0.25">
      <c r="B264" s="4">
        <v>5</v>
      </c>
      <c r="C264" s="5" t="s">
        <v>950</v>
      </c>
      <c r="D264" s="6" t="s">
        <v>978</v>
      </c>
      <c r="E264" s="4" t="s">
        <v>783</v>
      </c>
      <c r="F264" s="4" t="s">
        <v>804</v>
      </c>
      <c r="G264" s="4" t="s">
        <v>328</v>
      </c>
      <c r="H264" s="4" t="s">
        <v>785</v>
      </c>
    </row>
    <row r="265" spans="2:8" ht="13.5" thickBot="1" x14ac:dyDescent="0.25">
      <c r="B265" s="4">
        <v>6</v>
      </c>
      <c r="C265" s="5" t="s">
        <v>842</v>
      </c>
      <c r="D265" s="6" t="s">
        <v>979</v>
      </c>
      <c r="E265" s="4" t="s">
        <v>794</v>
      </c>
      <c r="F265" s="4" t="s">
        <v>804</v>
      </c>
      <c r="G265" s="4" t="s">
        <v>328</v>
      </c>
      <c r="H265" s="4" t="s">
        <v>785</v>
      </c>
    </row>
    <row r="266" spans="2:8" ht="13.5" thickBot="1" x14ac:dyDescent="0.25">
      <c r="B266" s="4">
        <v>7</v>
      </c>
      <c r="C266" s="5" t="s">
        <v>846</v>
      </c>
      <c r="D266" s="5" t="s">
        <v>847</v>
      </c>
      <c r="E266" s="4" t="s">
        <v>783</v>
      </c>
      <c r="F266" s="4">
        <v>3</v>
      </c>
      <c r="G266" s="4" t="s">
        <v>328</v>
      </c>
      <c r="H266" s="4" t="s">
        <v>794</v>
      </c>
    </row>
    <row r="267" spans="2:8" ht="13.5" thickBot="1" x14ac:dyDescent="0.25">
      <c r="B267" s="4">
        <v>8</v>
      </c>
      <c r="C267" s="5" t="s">
        <v>850</v>
      </c>
      <c r="D267" s="5" t="s">
        <v>980</v>
      </c>
      <c r="E267" s="4" t="s">
        <v>794</v>
      </c>
      <c r="F267" s="4">
        <v>9</v>
      </c>
      <c r="G267" s="4" t="s">
        <v>328</v>
      </c>
      <c r="H267" s="4" t="s">
        <v>785</v>
      </c>
    </row>
    <row r="268" spans="2:8" ht="13.5" thickBot="1" x14ac:dyDescent="0.25">
      <c r="B268" s="4">
        <v>9</v>
      </c>
      <c r="C268" s="5" t="s">
        <v>1024</v>
      </c>
      <c r="D268" s="5" t="s">
        <v>1025</v>
      </c>
      <c r="E268" s="4" t="s">
        <v>794</v>
      </c>
      <c r="F268" s="4" t="s">
        <v>988</v>
      </c>
      <c r="G268" s="4" t="s">
        <v>328</v>
      </c>
      <c r="H268" s="4" t="s">
        <v>794</v>
      </c>
    </row>
    <row r="269" spans="2:8" ht="13.5" thickBot="1" x14ac:dyDescent="0.25">
      <c r="B269" s="4">
        <v>10</v>
      </c>
      <c r="C269" s="5" t="s">
        <v>854</v>
      </c>
      <c r="D269" s="5" t="s">
        <v>855</v>
      </c>
      <c r="E269" s="4" t="s">
        <v>794</v>
      </c>
      <c r="F269" s="4" t="s">
        <v>799</v>
      </c>
      <c r="G269" s="4" t="s">
        <v>328</v>
      </c>
      <c r="H269" s="4" t="s">
        <v>785</v>
      </c>
    </row>
    <row r="270" spans="2:8" ht="13.5" thickBot="1" x14ac:dyDescent="0.25">
      <c r="B270" s="4">
        <v>11</v>
      </c>
      <c r="C270" s="5" t="s">
        <v>1026</v>
      </c>
      <c r="D270" s="5" t="s">
        <v>1027</v>
      </c>
      <c r="E270" s="4" t="s">
        <v>794</v>
      </c>
      <c r="F270" s="4" t="s">
        <v>799</v>
      </c>
      <c r="G270" s="4" t="s">
        <v>328</v>
      </c>
      <c r="H270" s="4" t="s">
        <v>794</v>
      </c>
    </row>
    <row r="271" spans="2:8" ht="13.5" thickBot="1" x14ac:dyDescent="0.25">
      <c r="B271" s="4">
        <v>12</v>
      </c>
      <c r="C271" s="5" t="s">
        <v>858</v>
      </c>
      <c r="D271" s="5" t="s">
        <v>983</v>
      </c>
      <c r="E271" s="4" t="s">
        <v>794</v>
      </c>
      <c r="F271" s="4" t="s">
        <v>328</v>
      </c>
      <c r="G271" s="4">
        <v>2</v>
      </c>
      <c r="H271" s="4" t="s">
        <v>785</v>
      </c>
    </row>
    <row r="272" spans="2:8" x14ac:dyDescent="0.2">
      <c r="B272" s="50">
        <v>13</v>
      </c>
      <c r="C272" s="53" t="s">
        <v>860</v>
      </c>
      <c r="D272" s="7" t="s">
        <v>861</v>
      </c>
      <c r="E272" s="50" t="s">
        <v>783</v>
      </c>
      <c r="F272" s="50" t="s">
        <v>791</v>
      </c>
      <c r="G272" s="50" t="s">
        <v>328</v>
      </c>
      <c r="H272" s="50" t="s">
        <v>785</v>
      </c>
    </row>
    <row r="273" spans="2:8" x14ac:dyDescent="0.2">
      <c r="B273" s="51"/>
      <c r="C273" s="54"/>
      <c r="D273" s="8" t="s">
        <v>862</v>
      </c>
      <c r="E273" s="51"/>
      <c r="F273" s="51"/>
      <c r="G273" s="51"/>
      <c r="H273" s="51"/>
    </row>
    <row r="274" spans="2:8" x14ac:dyDescent="0.2">
      <c r="B274" s="51"/>
      <c r="C274" s="54"/>
      <c r="D274" s="8" t="s">
        <v>863</v>
      </c>
      <c r="E274" s="51"/>
      <c r="F274" s="51"/>
      <c r="G274" s="51"/>
      <c r="H274" s="51"/>
    </row>
    <row r="275" spans="2:8" ht="13.5" thickBot="1" x14ac:dyDescent="0.25">
      <c r="B275" s="51"/>
      <c r="C275" s="54"/>
      <c r="D275" s="9" t="s">
        <v>864</v>
      </c>
      <c r="E275" s="51"/>
      <c r="F275" s="51"/>
      <c r="G275" s="51"/>
      <c r="H275" s="51"/>
    </row>
    <row r="276" spans="2:8" x14ac:dyDescent="0.2">
      <c r="B276" s="51"/>
      <c r="C276" s="54"/>
      <c r="D276" s="7" t="s">
        <v>1028</v>
      </c>
      <c r="E276" s="51"/>
      <c r="F276" s="51"/>
      <c r="G276" s="51"/>
      <c r="H276" s="51"/>
    </row>
    <row r="277" spans="2:8" x14ac:dyDescent="0.2">
      <c r="B277" s="51"/>
      <c r="C277" s="54"/>
      <c r="D277" s="8" t="s">
        <v>861</v>
      </c>
      <c r="E277" s="51"/>
      <c r="F277" s="51"/>
      <c r="G277" s="51"/>
      <c r="H277" s="51"/>
    </row>
    <row r="278" spans="2:8" x14ac:dyDescent="0.2">
      <c r="B278" s="51"/>
      <c r="C278" s="54"/>
      <c r="D278" s="8" t="s">
        <v>862</v>
      </c>
      <c r="E278" s="51"/>
      <c r="F278" s="51"/>
      <c r="G278" s="51"/>
      <c r="H278" s="51"/>
    </row>
    <row r="279" spans="2:8" x14ac:dyDescent="0.2">
      <c r="B279" s="51"/>
      <c r="C279" s="54"/>
      <c r="D279" s="8" t="s">
        <v>863</v>
      </c>
      <c r="E279" s="51"/>
      <c r="F279" s="51"/>
      <c r="G279" s="51"/>
      <c r="H279" s="51"/>
    </row>
    <row r="280" spans="2:8" ht="13.5" thickBot="1" x14ac:dyDescent="0.25">
      <c r="B280" s="52"/>
      <c r="C280" s="55"/>
      <c r="D280" s="9" t="s">
        <v>1029</v>
      </c>
      <c r="E280" s="52"/>
      <c r="F280" s="52"/>
      <c r="G280" s="52"/>
      <c r="H280" s="52"/>
    </row>
    <row r="281" spans="2:8" ht="13.5" thickBot="1" x14ac:dyDescent="0.25">
      <c r="B281" s="4">
        <v>14</v>
      </c>
      <c r="C281" s="5" t="s">
        <v>865</v>
      </c>
      <c r="D281" s="5" t="s">
        <v>866</v>
      </c>
      <c r="E281" s="4" t="s">
        <v>794</v>
      </c>
      <c r="F281" s="4" t="s">
        <v>328</v>
      </c>
      <c r="G281" s="4">
        <v>2</v>
      </c>
      <c r="H281" s="4" t="s">
        <v>794</v>
      </c>
    </row>
    <row r="282" spans="2:8" ht="13.5" thickBot="1" x14ac:dyDescent="0.25">
      <c r="B282" s="4">
        <v>15</v>
      </c>
      <c r="C282" s="5" t="s">
        <v>1030</v>
      </c>
      <c r="D282" s="5" t="s">
        <v>1031</v>
      </c>
      <c r="E282" s="4" t="s">
        <v>794</v>
      </c>
      <c r="F282" s="4" t="s">
        <v>328</v>
      </c>
      <c r="G282" s="4">
        <v>2</v>
      </c>
      <c r="H282" s="4" t="s">
        <v>794</v>
      </c>
    </row>
    <row r="283" spans="2:8" ht="13.5" thickBot="1" x14ac:dyDescent="0.25">
      <c r="B283" s="4">
        <v>16</v>
      </c>
      <c r="C283" s="5" t="s">
        <v>1032</v>
      </c>
      <c r="D283" s="5" t="s">
        <v>1033</v>
      </c>
      <c r="E283" s="4" t="s">
        <v>794</v>
      </c>
      <c r="F283" s="4" t="s">
        <v>328</v>
      </c>
      <c r="G283" s="4">
        <v>2</v>
      </c>
      <c r="H283" s="4" t="s">
        <v>794</v>
      </c>
    </row>
    <row r="284" spans="2:8" x14ac:dyDescent="0.2">
      <c r="B284" s="50">
        <v>17</v>
      </c>
      <c r="C284" s="53" t="s">
        <v>1034</v>
      </c>
      <c r="D284" s="7" t="s">
        <v>1035</v>
      </c>
      <c r="E284" s="50" t="s">
        <v>783</v>
      </c>
      <c r="F284" s="50" t="s">
        <v>791</v>
      </c>
      <c r="G284" s="50" t="s">
        <v>328</v>
      </c>
      <c r="H284" s="50" t="s">
        <v>785</v>
      </c>
    </row>
    <row r="285" spans="2:8" x14ac:dyDescent="0.2">
      <c r="B285" s="51"/>
      <c r="C285" s="54"/>
      <c r="D285" s="8" t="s">
        <v>1036</v>
      </c>
      <c r="E285" s="51"/>
      <c r="F285" s="51"/>
      <c r="G285" s="51"/>
      <c r="H285" s="51"/>
    </row>
    <row r="286" spans="2:8" x14ac:dyDescent="0.2">
      <c r="B286" s="51"/>
      <c r="C286" s="54"/>
      <c r="D286" s="8" t="s">
        <v>1037</v>
      </c>
      <c r="E286" s="51"/>
      <c r="F286" s="51"/>
      <c r="G286" s="51"/>
      <c r="H286" s="51"/>
    </row>
    <row r="287" spans="2:8" x14ac:dyDescent="0.2">
      <c r="B287" s="51"/>
      <c r="C287" s="54"/>
      <c r="D287" s="8" t="s">
        <v>1038</v>
      </c>
      <c r="E287" s="51"/>
      <c r="F287" s="51"/>
      <c r="G287" s="51"/>
      <c r="H287" s="51"/>
    </row>
    <row r="288" spans="2:8" ht="13.5" thickBot="1" x14ac:dyDescent="0.25">
      <c r="B288" s="51"/>
      <c r="C288" s="54"/>
      <c r="D288" s="9" t="s">
        <v>1039</v>
      </c>
      <c r="E288" s="51"/>
      <c r="F288" s="51"/>
      <c r="G288" s="51"/>
      <c r="H288" s="51"/>
    </row>
    <row r="289" spans="2:8" x14ac:dyDescent="0.2">
      <c r="B289" s="51"/>
      <c r="C289" s="54"/>
      <c r="D289" s="7" t="s">
        <v>1040</v>
      </c>
      <c r="E289" s="51"/>
      <c r="F289" s="51"/>
      <c r="G289" s="51"/>
      <c r="H289" s="51"/>
    </row>
    <row r="290" spans="2:8" x14ac:dyDescent="0.2">
      <c r="B290" s="51"/>
      <c r="C290" s="54"/>
      <c r="D290" s="8" t="s">
        <v>1035</v>
      </c>
      <c r="E290" s="51"/>
      <c r="F290" s="51"/>
      <c r="G290" s="51"/>
      <c r="H290" s="51"/>
    </row>
    <row r="291" spans="2:8" x14ac:dyDescent="0.2">
      <c r="B291" s="51"/>
      <c r="C291" s="54"/>
      <c r="D291" s="8" t="s">
        <v>1041</v>
      </c>
      <c r="E291" s="51"/>
      <c r="F291" s="51"/>
      <c r="G291" s="51"/>
      <c r="H291" s="51"/>
    </row>
    <row r="292" spans="2:8" x14ac:dyDescent="0.2">
      <c r="B292" s="51"/>
      <c r="C292" s="54"/>
      <c r="D292" s="8" t="s">
        <v>1042</v>
      </c>
      <c r="E292" s="51"/>
      <c r="F292" s="51"/>
      <c r="G292" s="51"/>
      <c r="H292" s="51"/>
    </row>
    <row r="293" spans="2:8" x14ac:dyDescent="0.2">
      <c r="B293" s="51"/>
      <c r="C293" s="54"/>
      <c r="D293" s="8" t="s">
        <v>1043</v>
      </c>
      <c r="E293" s="51"/>
      <c r="F293" s="51"/>
      <c r="G293" s="51"/>
      <c r="H293" s="51"/>
    </row>
    <row r="294" spans="2:8" ht="13.5" thickBot="1" x14ac:dyDescent="0.25">
      <c r="B294" s="51"/>
      <c r="C294" s="54"/>
      <c r="D294" s="9" t="s">
        <v>1039</v>
      </c>
      <c r="E294" s="51"/>
      <c r="F294" s="51"/>
      <c r="G294" s="51"/>
      <c r="H294" s="51"/>
    </row>
    <row r="295" spans="2:8" x14ac:dyDescent="0.2">
      <c r="B295" s="51"/>
      <c r="C295" s="54"/>
      <c r="D295" s="7" t="s">
        <v>1044</v>
      </c>
      <c r="E295" s="51"/>
      <c r="F295" s="51"/>
      <c r="G295" s="51"/>
      <c r="H295" s="51"/>
    </row>
    <row r="296" spans="2:8" x14ac:dyDescent="0.2">
      <c r="B296" s="51"/>
      <c r="C296" s="54"/>
      <c r="D296" s="8" t="s">
        <v>1045</v>
      </c>
      <c r="E296" s="51"/>
      <c r="F296" s="51"/>
      <c r="G296" s="51"/>
      <c r="H296" s="51"/>
    </row>
    <row r="297" spans="2:8" x14ac:dyDescent="0.2">
      <c r="B297" s="51"/>
      <c r="C297" s="54"/>
      <c r="D297" s="8" t="s">
        <v>1046</v>
      </c>
      <c r="E297" s="51"/>
      <c r="F297" s="51"/>
      <c r="G297" s="51"/>
      <c r="H297" s="51"/>
    </row>
    <row r="298" spans="2:8" x14ac:dyDescent="0.2">
      <c r="B298" s="51"/>
      <c r="C298" s="54"/>
      <c r="D298" s="8" t="s">
        <v>1047</v>
      </c>
      <c r="E298" s="51"/>
      <c r="F298" s="51"/>
      <c r="G298" s="51"/>
      <c r="H298" s="51"/>
    </row>
    <row r="299" spans="2:8" x14ac:dyDescent="0.2">
      <c r="B299" s="51"/>
      <c r="C299" s="54"/>
      <c r="D299" s="8" t="s">
        <v>1048</v>
      </c>
      <c r="E299" s="51"/>
      <c r="F299" s="51"/>
      <c r="G299" s="51"/>
      <c r="H299" s="51"/>
    </row>
    <row r="300" spans="2:8" x14ac:dyDescent="0.2">
      <c r="B300" s="51"/>
      <c r="C300" s="54"/>
      <c r="D300" s="8" t="s">
        <v>1049</v>
      </c>
      <c r="E300" s="51"/>
      <c r="F300" s="51"/>
      <c r="G300" s="51"/>
      <c r="H300" s="51"/>
    </row>
    <row r="301" spans="2:8" x14ac:dyDescent="0.2">
      <c r="B301" s="51"/>
      <c r="C301" s="54"/>
      <c r="D301" s="8" t="s">
        <v>1050</v>
      </c>
      <c r="E301" s="51"/>
      <c r="F301" s="51"/>
      <c r="G301" s="51"/>
      <c r="H301" s="51"/>
    </row>
    <row r="302" spans="2:8" ht="13.5" thickBot="1" x14ac:dyDescent="0.25">
      <c r="B302" s="52"/>
      <c r="C302" s="55"/>
      <c r="D302" s="9" t="s">
        <v>1051</v>
      </c>
      <c r="E302" s="52"/>
      <c r="F302" s="52"/>
      <c r="G302" s="52"/>
      <c r="H302" s="52"/>
    </row>
    <row r="303" spans="2:8" ht="13.5" thickBot="1" x14ac:dyDescent="0.25">
      <c r="B303" s="4">
        <v>18</v>
      </c>
      <c r="C303" s="5" t="s">
        <v>1052</v>
      </c>
      <c r="D303" s="5" t="s">
        <v>1053</v>
      </c>
      <c r="E303" s="4" t="s">
        <v>794</v>
      </c>
      <c r="F303" s="4" t="s">
        <v>328</v>
      </c>
      <c r="G303" s="4">
        <v>2</v>
      </c>
      <c r="H303" s="4" t="s">
        <v>794</v>
      </c>
    </row>
    <row r="304" spans="2:8" ht="13.5" thickBot="1" x14ac:dyDescent="0.25">
      <c r="B304" s="4">
        <v>19</v>
      </c>
      <c r="C304" s="5" t="s">
        <v>1054</v>
      </c>
      <c r="D304" s="5" t="s">
        <v>1055</v>
      </c>
      <c r="E304" s="4" t="s">
        <v>794</v>
      </c>
      <c r="F304" s="4" t="s">
        <v>328</v>
      </c>
      <c r="G304" s="4">
        <v>2</v>
      </c>
      <c r="H304" s="4" t="s">
        <v>794</v>
      </c>
    </row>
    <row r="305" spans="2:8" ht="13.5" thickBot="1" x14ac:dyDescent="0.25">
      <c r="B305" s="4">
        <v>20</v>
      </c>
      <c r="C305" s="5" t="s">
        <v>1056</v>
      </c>
      <c r="D305" s="5" t="s">
        <v>1057</v>
      </c>
      <c r="E305" s="4" t="s">
        <v>794</v>
      </c>
      <c r="F305" s="4" t="s">
        <v>328</v>
      </c>
      <c r="G305" s="4">
        <v>2</v>
      </c>
      <c r="H305" s="4" t="s">
        <v>794</v>
      </c>
    </row>
    <row r="306" spans="2:8" ht="13.5" thickBot="1" x14ac:dyDescent="0.25">
      <c r="B306" s="4">
        <v>21</v>
      </c>
      <c r="C306" s="5" t="s">
        <v>900</v>
      </c>
      <c r="D306" s="5" t="s">
        <v>901</v>
      </c>
      <c r="E306" s="4" t="s">
        <v>794</v>
      </c>
      <c r="F306" s="4" t="s">
        <v>328</v>
      </c>
      <c r="G306" s="4">
        <v>2</v>
      </c>
      <c r="H306" s="4" t="s">
        <v>794</v>
      </c>
    </row>
    <row r="307" spans="2:8" ht="13.5" thickBot="1" x14ac:dyDescent="0.25">
      <c r="B307" s="4">
        <v>22</v>
      </c>
      <c r="C307" s="5" t="s">
        <v>904</v>
      </c>
      <c r="D307" s="5" t="s">
        <v>1000</v>
      </c>
      <c r="E307" s="4" t="s">
        <v>794</v>
      </c>
      <c r="F307" s="4" t="s">
        <v>328</v>
      </c>
      <c r="G307" s="4">
        <v>2</v>
      </c>
      <c r="H307" s="4" t="s">
        <v>794</v>
      </c>
    </row>
    <row r="308" spans="2:8" ht="13.5" thickBot="1" x14ac:dyDescent="0.25">
      <c r="B308" s="4">
        <v>23</v>
      </c>
      <c r="C308" s="5" t="s">
        <v>906</v>
      </c>
      <c r="D308" s="5" t="s">
        <v>1058</v>
      </c>
      <c r="E308" s="4" t="s">
        <v>794</v>
      </c>
      <c r="F308" s="4" t="s">
        <v>328</v>
      </c>
      <c r="G308" s="4">
        <v>2</v>
      </c>
      <c r="H308" s="4" t="s">
        <v>794</v>
      </c>
    </row>
    <row r="309" spans="2:8" ht="13.5" thickBot="1" x14ac:dyDescent="0.25">
      <c r="B309" s="4">
        <v>24</v>
      </c>
      <c r="C309" s="5" t="s">
        <v>910</v>
      </c>
      <c r="D309" s="5" t="s">
        <v>1059</v>
      </c>
      <c r="E309" s="4" t="s">
        <v>794</v>
      </c>
      <c r="F309" s="4" t="s">
        <v>328</v>
      </c>
      <c r="G309" s="4">
        <v>2</v>
      </c>
      <c r="H309" s="4" t="s">
        <v>794</v>
      </c>
    </row>
    <row r="310" spans="2:8" ht="13.5" thickBot="1" x14ac:dyDescent="0.25">
      <c r="B310" s="4">
        <v>25</v>
      </c>
      <c r="C310" s="5" t="s">
        <v>924</v>
      </c>
      <c r="D310" s="5" t="s">
        <v>1060</v>
      </c>
      <c r="E310" s="4" t="s">
        <v>794</v>
      </c>
      <c r="F310" s="4" t="s">
        <v>328</v>
      </c>
      <c r="G310" s="4">
        <v>2</v>
      </c>
      <c r="H310" s="4" t="s">
        <v>794</v>
      </c>
    </row>
    <row r="311" spans="2:8" ht="13.5" thickBot="1" x14ac:dyDescent="0.25">
      <c r="B311" s="4">
        <v>26</v>
      </c>
      <c r="C311" s="5" t="s">
        <v>809</v>
      </c>
      <c r="D311" s="5" t="s">
        <v>868</v>
      </c>
      <c r="E311" s="4" t="s">
        <v>794</v>
      </c>
      <c r="F311" s="4" t="s">
        <v>328</v>
      </c>
      <c r="G311" s="4">
        <v>2</v>
      </c>
      <c r="H311" s="4" t="s">
        <v>794</v>
      </c>
    </row>
    <row r="312" spans="2:8" ht="13.5" thickBot="1" x14ac:dyDescent="0.25">
      <c r="B312" s="4">
        <v>27</v>
      </c>
      <c r="C312" s="5" t="s">
        <v>817</v>
      </c>
      <c r="D312" s="5" t="s">
        <v>870</v>
      </c>
      <c r="E312" s="4" t="s">
        <v>794</v>
      </c>
      <c r="F312" s="4" t="s">
        <v>328</v>
      </c>
      <c r="G312" s="4">
        <v>2</v>
      </c>
      <c r="H312" s="4" t="s">
        <v>794</v>
      </c>
    </row>
    <row r="313" spans="2:8" ht="13.5" thickBot="1" x14ac:dyDescent="0.25">
      <c r="B313" s="4">
        <v>28</v>
      </c>
      <c r="C313" s="5" t="s">
        <v>1061</v>
      </c>
      <c r="D313" s="5" t="s">
        <v>1062</v>
      </c>
      <c r="E313" s="4" t="s">
        <v>794</v>
      </c>
      <c r="F313" s="4" t="s">
        <v>328</v>
      </c>
      <c r="G313" s="4">
        <v>2</v>
      </c>
      <c r="H313" s="4" t="s">
        <v>794</v>
      </c>
    </row>
    <row r="314" spans="2:8" ht="13.5" thickBot="1" x14ac:dyDescent="0.25">
      <c r="B314" s="4">
        <v>29</v>
      </c>
      <c r="C314" s="5" t="s">
        <v>1063</v>
      </c>
      <c r="D314" s="5" t="s">
        <v>1064</v>
      </c>
      <c r="E314" s="4" t="s">
        <v>794</v>
      </c>
      <c r="F314" s="4" t="s">
        <v>328</v>
      </c>
      <c r="G314" s="4">
        <v>2</v>
      </c>
      <c r="H314" s="4" t="s">
        <v>794</v>
      </c>
    </row>
    <row r="317" spans="2:8" ht="13.5" thickBot="1" x14ac:dyDescent="0.25">
      <c r="B317" s="10" t="s">
        <v>176</v>
      </c>
    </row>
    <row r="318" spans="2:8" ht="13.5" thickBot="1" x14ac:dyDescent="0.25">
      <c r="B318" s="3" t="s">
        <v>775</v>
      </c>
      <c r="C318" s="3" t="s">
        <v>776</v>
      </c>
      <c r="D318" s="3" t="s">
        <v>31</v>
      </c>
      <c r="E318" s="3" t="s">
        <v>777</v>
      </c>
      <c r="F318" s="3" t="s">
        <v>778</v>
      </c>
      <c r="G318" s="3" t="s">
        <v>779</v>
      </c>
      <c r="H318" s="3" t="s">
        <v>780</v>
      </c>
    </row>
    <row r="319" spans="2:8" ht="13.5" thickBot="1" x14ac:dyDescent="0.25">
      <c r="B319" s="4">
        <v>1</v>
      </c>
      <c r="C319" s="5" t="s">
        <v>781</v>
      </c>
      <c r="D319" s="6" t="s">
        <v>1065</v>
      </c>
      <c r="E319" s="4" t="s">
        <v>783</v>
      </c>
      <c r="F319" s="4" t="s">
        <v>784</v>
      </c>
      <c r="G319" s="4" t="s">
        <v>328</v>
      </c>
      <c r="H319" s="4" t="s">
        <v>785</v>
      </c>
    </row>
    <row r="320" spans="2:8" ht="13.5" thickBot="1" x14ac:dyDescent="0.25">
      <c r="B320" s="4">
        <v>2</v>
      </c>
      <c r="C320" s="5" t="s">
        <v>1066</v>
      </c>
      <c r="D320" s="5" t="s">
        <v>1067</v>
      </c>
      <c r="E320" s="4" t="s">
        <v>794</v>
      </c>
      <c r="F320" s="4" t="s">
        <v>784</v>
      </c>
      <c r="G320" s="4" t="s">
        <v>328</v>
      </c>
      <c r="H320" s="4" t="s">
        <v>785</v>
      </c>
    </row>
    <row r="321" spans="2:8" ht="13.5" thickBot="1" x14ac:dyDescent="0.25">
      <c r="B321" s="4">
        <v>3</v>
      </c>
      <c r="C321" s="5" t="s">
        <v>886</v>
      </c>
      <c r="D321" s="5" t="s">
        <v>1068</v>
      </c>
      <c r="E321" s="4" t="s">
        <v>794</v>
      </c>
      <c r="F321" s="4" t="s">
        <v>328</v>
      </c>
      <c r="G321" s="4">
        <v>2</v>
      </c>
      <c r="H321" s="4" t="s">
        <v>785</v>
      </c>
    </row>
    <row r="322" spans="2:8" ht="13.5" thickBot="1" x14ac:dyDescent="0.25">
      <c r="B322" s="4">
        <v>4</v>
      </c>
      <c r="C322" s="5" t="s">
        <v>865</v>
      </c>
      <c r="D322" s="5" t="s">
        <v>1069</v>
      </c>
      <c r="E322" s="4" t="s">
        <v>794</v>
      </c>
      <c r="F322" s="4" t="s">
        <v>328</v>
      </c>
      <c r="G322" s="4">
        <v>2</v>
      </c>
      <c r="H322" s="4" t="s">
        <v>794</v>
      </c>
    </row>
    <row r="323" spans="2:8" ht="13.5" thickBot="1" x14ac:dyDescent="0.25">
      <c r="B323" s="4">
        <v>5</v>
      </c>
      <c r="C323" s="5" t="s">
        <v>802</v>
      </c>
      <c r="D323" s="5" t="s">
        <v>1070</v>
      </c>
      <c r="E323" s="4" t="s">
        <v>794</v>
      </c>
      <c r="F323" s="4" t="s">
        <v>804</v>
      </c>
      <c r="G323" s="4" t="s">
        <v>328</v>
      </c>
      <c r="H323" s="4" t="s">
        <v>785</v>
      </c>
    </row>
    <row r="324" spans="2:8" ht="13.5" thickBot="1" x14ac:dyDescent="0.25">
      <c r="B324" s="4">
        <v>6</v>
      </c>
      <c r="C324" s="5" t="s">
        <v>805</v>
      </c>
      <c r="D324" s="5" t="s">
        <v>1005</v>
      </c>
      <c r="E324" s="4" t="s">
        <v>794</v>
      </c>
      <c r="F324" s="4" t="s">
        <v>328</v>
      </c>
      <c r="G324" s="4">
        <v>2</v>
      </c>
      <c r="H324" s="4" t="s">
        <v>794</v>
      </c>
    </row>
    <row r="325" spans="2:8" ht="13.5" thickBot="1" x14ac:dyDescent="0.25">
      <c r="B325" s="4">
        <v>7</v>
      </c>
      <c r="C325" s="5" t="s">
        <v>807</v>
      </c>
      <c r="D325" s="5" t="s">
        <v>1071</v>
      </c>
      <c r="E325" s="4" t="s">
        <v>794</v>
      </c>
      <c r="F325" s="4">
        <v>8</v>
      </c>
      <c r="G325" s="4">
        <v>4</v>
      </c>
      <c r="H325" s="4" t="s">
        <v>794</v>
      </c>
    </row>
    <row r="326" spans="2:8" ht="13.5" thickBot="1" x14ac:dyDescent="0.25">
      <c r="B326" s="4">
        <v>8</v>
      </c>
      <c r="C326" s="5" t="s">
        <v>809</v>
      </c>
      <c r="D326" s="5" t="s">
        <v>1072</v>
      </c>
      <c r="E326" s="4" t="s">
        <v>794</v>
      </c>
      <c r="F326" s="4" t="s">
        <v>328</v>
      </c>
      <c r="G326" s="4">
        <v>2</v>
      </c>
      <c r="H326" s="4" t="s">
        <v>794</v>
      </c>
    </row>
    <row r="327" spans="2:8" ht="13.5" thickBot="1" x14ac:dyDescent="0.25">
      <c r="B327" s="4">
        <v>9</v>
      </c>
      <c r="C327" s="5" t="s">
        <v>825</v>
      </c>
      <c r="D327" s="5" t="s">
        <v>1073</v>
      </c>
      <c r="E327" s="4" t="s">
        <v>783</v>
      </c>
      <c r="F327" s="4">
        <v>255</v>
      </c>
      <c r="G327" s="4" t="s">
        <v>328</v>
      </c>
      <c r="H327" s="4" t="s">
        <v>794</v>
      </c>
    </row>
    <row r="329" spans="2:8" ht="13.5" thickBot="1" x14ac:dyDescent="0.25">
      <c r="B329" s="10" t="s">
        <v>178</v>
      </c>
    </row>
    <row r="330" spans="2:8" ht="13.5" thickBot="1" x14ac:dyDescent="0.25">
      <c r="B330" s="3" t="s">
        <v>775</v>
      </c>
      <c r="C330" s="3" t="s">
        <v>776</v>
      </c>
      <c r="D330" s="3" t="s">
        <v>31</v>
      </c>
      <c r="E330" s="3" t="s">
        <v>777</v>
      </c>
      <c r="F330" s="3" t="s">
        <v>778</v>
      </c>
      <c r="G330" s="3" t="s">
        <v>779</v>
      </c>
      <c r="H330" s="3" t="s">
        <v>780</v>
      </c>
    </row>
    <row r="331" spans="2:8" ht="13.5" thickBot="1" x14ac:dyDescent="0.25">
      <c r="B331" s="4">
        <v>1</v>
      </c>
      <c r="C331" s="5" t="s">
        <v>781</v>
      </c>
      <c r="D331" s="6" t="s">
        <v>1074</v>
      </c>
      <c r="E331" s="4" t="s">
        <v>783</v>
      </c>
      <c r="F331" s="4" t="s">
        <v>784</v>
      </c>
      <c r="G331" s="4" t="s">
        <v>328</v>
      </c>
      <c r="H331" s="4" t="s">
        <v>785</v>
      </c>
    </row>
    <row r="332" spans="2:8" ht="13.5" thickBot="1" x14ac:dyDescent="0.25">
      <c r="B332" s="4">
        <v>2</v>
      </c>
      <c r="C332" s="5" t="s">
        <v>1066</v>
      </c>
      <c r="D332" s="5" t="s">
        <v>1067</v>
      </c>
      <c r="E332" s="4" t="s">
        <v>794</v>
      </c>
      <c r="F332" s="4" t="s">
        <v>784</v>
      </c>
      <c r="G332" s="4" t="s">
        <v>328</v>
      </c>
      <c r="H332" s="4" t="s">
        <v>785</v>
      </c>
    </row>
    <row r="333" spans="2:8" ht="13.5" thickBot="1" x14ac:dyDescent="0.25">
      <c r="B333" s="4">
        <v>3</v>
      </c>
      <c r="C333" s="5" t="s">
        <v>886</v>
      </c>
      <c r="D333" s="5" t="s">
        <v>1068</v>
      </c>
      <c r="E333" s="4" t="s">
        <v>794</v>
      </c>
      <c r="F333" s="4" t="s">
        <v>328</v>
      </c>
      <c r="G333" s="4">
        <v>2</v>
      </c>
      <c r="H333" s="4" t="s">
        <v>785</v>
      </c>
    </row>
    <row r="334" spans="2:8" ht="13.5" thickBot="1" x14ac:dyDescent="0.25">
      <c r="B334" s="4">
        <v>4</v>
      </c>
      <c r="C334" s="5" t="s">
        <v>865</v>
      </c>
      <c r="D334" s="5" t="s">
        <v>1069</v>
      </c>
      <c r="E334" s="4" t="s">
        <v>794</v>
      </c>
      <c r="F334" s="4" t="s">
        <v>328</v>
      </c>
      <c r="G334" s="4">
        <v>2</v>
      </c>
      <c r="H334" s="4" t="s">
        <v>794</v>
      </c>
    </row>
    <row r="335" spans="2:8" ht="13.5" thickBot="1" x14ac:dyDescent="0.25">
      <c r="B335" s="4">
        <v>5</v>
      </c>
      <c r="C335" s="5" t="s">
        <v>811</v>
      </c>
      <c r="D335" s="5" t="s">
        <v>1075</v>
      </c>
      <c r="E335" s="4" t="s">
        <v>794</v>
      </c>
      <c r="F335" s="4" t="s">
        <v>804</v>
      </c>
      <c r="G335" s="4" t="s">
        <v>328</v>
      </c>
      <c r="H335" s="4" t="s">
        <v>785</v>
      </c>
    </row>
    <row r="336" spans="2:8" ht="13.5" thickBot="1" x14ac:dyDescent="0.25">
      <c r="B336" s="4">
        <v>6</v>
      </c>
      <c r="C336" s="5" t="s">
        <v>813</v>
      </c>
      <c r="D336" s="5" t="s">
        <v>1076</v>
      </c>
      <c r="E336" s="4" t="s">
        <v>794</v>
      </c>
      <c r="F336" s="4" t="s">
        <v>328</v>
      </c>
      <c r="G336" s="4">
        <v>2</v>
      </c>
      <c r="H336" s="4" t="s">
        <v>794</v>
      </c>
    </row>
    <row r="337" spans="2:8" ht="13.5" thickBot="1" x14ac:dyDescent="0.25">
      <c r="B337" s="4">
        <v>7</v>
      </c>
      <c r="C337" s="5" t="s">
        <v>815</v>
      </c>
      <c r="D337" s="5" t="s">
        <v>1077</v>
      </c>
      <c r="E337" s="4" t="s">
        <v>794</v>
      </c>
      <c r="F337" s="4">
        <v>8</v>
      </c>
      <c r="G337" s="4">
        <v>4</v>
      </c>
      <c r="H337" s="4" t="s">
        <v>794</v>
      </c>
    </row>
    <row r="338" spans="2:8" ht="13.5" thickBot="1" x14ac:dyDescent="0.25">
      <c r="B338" s="4">
        <v>8</v>
      </c>
      <c r="C338" s="5" t="s">
        <v>817</v>
      </c>
      <c r="D338" s="5" t="s">
        <v>1078</v>
      </c>
      <c r="E338" s="4" t="s">
        <v>794</v>
      </c>
      <c r="F338" s="4" t="s">
        <v>328</v>
      </c>
      <c r="G338" s="4">
        <v>2</v>
      </c>
      <c r="H338" s="4" t="s">
        <v>794</v>
      </c>
    </row>
    <row r="339" spans="2:8" ht="13.5" thickBot="1" x14ac:dyDescent="0.25">
      <c r="B339" s="4">
        <v>9</v>
      </c>
      <c r="C339" s="5" t="s">
        <v>825</v>
      </c>
      <c r="D339" s="5" t="s">
        <v>1073</v>
      </c>
      <c r="E339" s="4" t="s">
        <v>783</v>
      </c>
      <c r="F339" s="4">
        <v>255</v>
      </c>
      <c r="G339" s="4" t="s">
        <v>328</v>
      </c>
      <c r="H339" s="4" t="s">
        <v>794</v>
      </c>
    </row>
    <row r="341" spans="2:8" ht="13.5" thickBot="1" x14ac:dyDescent="0.25">
      <c r="B341" s="27" t="s">
        <v>772</v>
      </c>
    </row>
    <row r="342" spans="2:8" ht="13.5" thickBot="1" x14ac:dyDescent="0.25">
      <c r="B342" s="11" t="s">
        <v>775</v>
      </c>
      <c r="C342" s="11" t="s">
        <v>776</v>
      </c>
      <c r="D342" s="11" t="s">
        <v>31</v>
      </c>
      <c r="E342" s="11" t="s">
        <v>777</v>
      </c>
      <c r="F342" s="11" t="s">
        <v>778</v>
      </c>
      <c r="G342" s="11" t="s">
        <v>779</v>
      </c>
      <c r="H342" s="11" t="s">
        <v>780</v>
      </c>
    </row>
    <row r="343" spans="2:8" ht="13.5" thickBot="1" x14ac:dyDescent="0.25">
      <c r="B343" s="12">
        <v>1</v>
      </c>
      <c r="C343" s="13" t="s">
        <v>781</v>
      </c>
      <c r="D343" s="14" t="s">
        <v>1083</v>
      </c>
      <c r="E343" s="12" t="s">
        <v>783</v>
      </c>
      <c r="F343" s="12" t="s">
        <v>784</v>
      </c>
      <c r="G343" s="12" t="s">
        <v>328</v>
      </c>
      <c r="H343" s="12" t="s">
        <v>785</v>
      </c>
    </row>
    <row r="344" spans="2:8" ht="13.5" thickBot="1" x14ac:dyDescent="0.25">
      <c r="B344" s="12">
        <v>2</v>
      </c>
      <c r="C344" s="13" t="s">
        <v>792</v>
      </c>
      <c r="D344" s="13" t="s">
        <v>1084</v>
      </c>
      <c r="E344" s="12" t="s">
        <v>783</v>
      </c>
      <c r="F344" s="12">
        <v>60</v>
      </c>
      <c r="G344" s="12" t="s">
        <v>328</v>
      </c>
      <c r="H344" s="12" t="s">
        <v>785</v>
      </c>
    </row>
    <row r="345" spans="2:8" ht="13.5" thickBot="1" x14ac:dyDescent="0.25">
      <c r="B345" s="12">
        <v>3</v>
      </c>
      <c r="C345" s="13" t="s">
        <v>1085</v>
      </c>
      <c r="D345" s="13" t="s">
        <v>1086</v>
      </c>
      <c r="E345" s="12" t="s">
        <v>783</v>
      </c>
      <c r="F345" s="12">
        <v>100</v>
      </c>
      <c r="G345" s="12" t="s">
        <v>328</v>
      </c>
      <c r="H345" s="12" t="s">
        <v>785</v>
      </c>
    </row>
    <row r="346" spans="2:8" ht="13.5" thickBot="1" x14ac:dyDescent="0.25">
      <c r="B346" s="12">
        <v>4</v>
      </c>
      <c r="C346" s="13" t="s">
        <v>1087</v>
      </c>
      <c r="D346" s="13" t="s">
        <v>1088</v>
      </c>
      <c r="E346" s="12" t="s">
        <v>794</v>
      </c>
      <c r="F346" s="12">
        <v>5</v>
      </c>
      <c r="G346" s="12" t="s">
        <v>328</v>
      </c>
      <c r="H346" s="12" t="s">
        <v>785</v>
      </c>
    </row>
    <row r="347" spans="2:8" ht="13.5" thickBot="1" x14ac:dyDescent="0.25">
      <c r="B347" s="12">
        <v>5</v>
      </c>
      <c r="C347" s="13" t="s">
        <v>1089</v>
      </c>
      <c r="D347" s="13" t="s">
        <v>1090</v>
      </c>
      <c r="E347" s="12" t="s">
        <v>794</v>
      </c>
      <c r="F347" s="12" t="s">
        <v>1091</v>
      </c>
      <c r="G347" s="12" t="s">
        <v>328</v>
      </c>
      <c r="H347" s="12" t="s">
        <v>794</v>
      </c>
    </row>
    <row r="348" spans="2:8" ht="13.5" thickBot="1" x14ac:dyDescent="0.25">
      <c r="B348" s="12">
        <v>6</v>
      </c>
      <c r="C348" s="13" t="s">
        <v>1092</v>
      </c>
      <c r="D348" s="13" t="s">
        <v>1093</v>
      </c>
      <c r="E348" s="12" t="s">
        <v>794</v>
      </c>
      <c r="F348" s="12" t="s">
        <v>1094</v>
      </c>
      <c r="G348" s="12" t="s">
        <v>328</v>
      </c>
      <c r="H348" s="12" t="s">
        <v>794</v>
      </c>
    </row>
    <row r="349" spans="2:8" ht="13.5" thickBot="1" x14ac:dyDescent="0.25">
      <c r="B349" s="12">
        <v>7</v>
      </c>
      <c r="C349" s="13" t="s">
        <v>1095</v>
      </c>
      <c r="D349" s="13" t="s">
        <v>1096</v>
      </c>
      <c r="E349" s="12" t="s">
        <v>783</v>
      </c>
      <c r="F349" s="12">
        <v>14</v>
      </c>
      <c r="G349" s="12" t="s">
        <v>328</v>
      </c>
      <c r="H349" s="12" t="s">
        <v>794</v>
      </c>
    </row>
    <row r="350" spans="2:8" ht="13.5" thickBot="1" x14ac:dyDescent="0.25">
      <c r="B350" s="12">
        <v>8</v>
      </c>
      <c r="C350" s="13" t="s">
        <v>952</v>
      </c>
      <c r="D350" s="13" t="s">
        <v>1097</v>
      </c>
      <c r="E350" s="12" t="s">
        <v>794</v>
      </c>
      <c r="F350" s="12" t="s">
        <v>954</v>
      </c>
      <c r="G350" s="12" t="s">
        <v>328</v>
      </c>
      <c r="H350" s="12" t="s">
        <v>794</v>
      </c>
    </row>
    <row r="351" spans="2:8" ht="13.5" thickBot="1" x14ac:dyDescent="0.25">
      <c r="B351" s="12">
        <v>9</v>
      </c>
      <c r="C351" s="13" t="s">
        <v>1098</v>
      </c>
      <c r="D351" s="13" t="s">
        <v>1099</v>
      </c>
      <c r="E351" s="12" t="s">
        <v>783</v>
      </c>
      <c r="F351" s="12" t="s">
        <v>1100</v>
      </c>
      <c r="G351" s="12" t="s">
        <v>328</v>
      </c>
      <c r="H351" s="12" t="s">
        <v>794</v>
      </c>
    </row>
    <row r="352" spans="2:8" ht="13.5" thickBot="1" x14ac:dyDescent="0.25">
      <c r="B352" s="12">
        <v>10</v>
      </c>
      <c r="C352" s="13" t="s">
        <v>1101</v>
      </c>
      <c r="D352" s="13" t="s">
        <v>1102</v>
      </c>
      <c r="E352" s="12" t="s">
        <v>783</v>
      </c>
      <c r="F352" s="12">
        <v>60</v>
      </c>
      <c r="G352" s="12" t="s">
        <v>328</v>
      </c>
      <c r="H352" s="12" t="s">
        <v>794</v>
      </c>
    </row>
    <row r="353" spans="2:8" ht="13.5" thickBot="1" x14ac:dyDescent="0.25">
      <c r="B353" s="12">
        <v>11</v>
      </c>
      <c r="C353" s="13" t="s">
        <v>1103</v>
      </c>
      <c r="D353" s="13" t="s">
        <v>1104</v>
      </c>
      <c r="E353" s="12" t="s">
        <v>783</v>
      </c>
      <c r="F353" s="12" t="s">
        <v>328</v>
      </c>
      <c r="G353" s="12" t="s">
        <v>328</v>
      </c>
      <c r="H353" s="12" t="s">
        <v>794</v>
      </c>
    </row>
    <row r="354" spans="2:8" ht="13.5" thickBot="1" x14ac:dyDescent="0.25">
      <c r="B354" s="12">
        <v>12</v>
      </c>
      <c r="C354" s="13" t="s">
        <v>1105</v>
      </c>
      <c r="D354" s="13" t="s">
        <v>1106</v>
      </c>
      <c r="E354" s="12" t="s">
        <v>783</v>
      </c>
      <c r="F354" s="12">
        <v>60</v>
      </c>
      <c r="G354" s="12" t="s">
        <v>328</v>
      </c>
      <c r="H354" s="12" t="s">
        <v>794</v>
      </c>
    </row>
    <row r="355" spans="2:8" ht="13.5" thickBot="1" x14ac:dyDescent="0.25">
      <c r="B355" s="12">
        <v>13</v>
      </c>
      <c r="C355" s="13" t="s">
        <v>1107</v>
      </c>
      <c r="D355" s="13" t="s">
        <v>1108</v>
      </c>
      <c r="E355" s="12" t="s">
        <v>783</v>
      </c>
      <c r="F355" s="12">
        <v>60</v>
      </c>
      <c r="G355" s="12" t="s">
        <v>328</v>
      </c>
      <c r="H355" s="12" t="s">
        <v>794</v>
      </c>
    </row>
    <row r="358" spans="2:8" ht="13.5" thickBot="1" x14ac:dyDescent="0.25">
      <c r="B358" s="28" t="s">
        <v>770</v>
      </c>
    </row>
    <row r="359" spans="2:8" ht="13.5" thickBot="1" x14ac:dyDescent="0.25">
      <c r="B359" s="11" t="s">
        <v>775</v>
      </c>
      <c r="C359" s="11" t="s">
        <v>776</v>
      </c>
      <c r="D359" s="11" t="s">
        <v>31</v>
      </c>
      <c r="E359" s="11" t="s">
        <v>777</v>
      </c>
      <c r="F359" s="11" t="s">
        <v>778</v>
      </c>
      <c r="G359" s="11" t="s">
        <v>779</v>
      </c>
      <c r="H359" s="11" t="s">
        <v>780</v>
      </c>
    </row>
    <row r="360" spans="2:8" ht="13.5" thickBot="1" x14ac:dyDescent="0.25">
      <c r="B360" s="12">
        <v>1</v>
      </c>
      <c r="C360" s="13" t="s">
        <v>781</v>
      </c>
      <c r="D360" s="14" t="s">
        <v>1083</v>
      </c>
      <c r="E360" s="12" t="s">
        <v>783</v>
      </c>
      <c r="F360" s="12" t="s">
        <v>784</v>
      </c>
      <c r="G360" s="12" t="s">
        <v>328</v>
      </c>
      <c r="H360" s="12" t="s">
        <v>785</v>
      </c>
    </row>
    <row r="361" spans="2:8" ht="13.5" thickBot="1" x14ac:dyDescent="0.25">
      <c r="B361" s="12">
        <v>2</v>
      </c>
      <c r="C361" s="13" t="s">
        <v>792</v>
      </c>
      <c r="D361" s="13" t="s">
        <v>1084</v>
      </c>
      <c r="E361" s="12" t="s">
        <v>783</v>
      </c>
      <c r="F361" s="12">
        <v>60</v>
      </c>
      <c r="G361" s="12" t="s">
        <v>328</v>
      </c>
      <c r="H361" s="12" t="s">
        <v>785</v>
      </c>
    </row>
    <row r="362" spans="2:8" ht="13.5" thickBot="1" x14ac:dyDescent="0.25">
      <c r="B362" s="12">
        <v>3</v>
      </c>
      <c r="C362" s="13" t="s">
        <v>1085</v>
      </c>
      <c r="D362" s="13" t="s">
        <v>1086</v>
      </c>
      <c r="E362" s="12" t="s">
        <v>783</v>
      </c>
      <c r="F362" s="12">
        <v>100</v>
      </c>
      <c r="G362" s="12" t="s">
        <v>328</v>
      </c>
      <c r="H362" s="12" t="s">
        <v>785</v>
      </c>
    </row>
    <row r="363" spans="2:8" ht="13.5" thickBot="1" x14ac:dyDescent="0.25">
      <c r="B363" s="12">
        <v>4</v>
      </c>
      <c r="C363" s="13" t="s">
        <v>1087</v>
      </c>
      <c r="D363" s="13" t="s">
        <v>1088</v>
      </c>
      <c r="E363" s="12" t="s">
        <v>794</v>
      </c>
      <c r="F363" s="12">
        <v>5</v>
      </c>
      <c r="G363" s="12" t="s">
        <v>328</v>
      </c>
      <c r="H363" s="12" t="s">
        <v>785</v>
      </c>
    </row>
    <row r="364" spans="2:8" ht="13.5" thickBot="1" x14ac:dyDescent="0.25">
      <c r="B364" s="12">
        <v>5</v>
      </c>
      <c r="C364" s="13" t="s">
        <v>1089</v>
      </c>
      <c r="D364" s="13" t="s">
        <v>1090</v>
      </c>
      <c r="E364" s="12" t="s">
        <v>794</v>
      </c>
      <c r="F364" s="12" t="s">
        <v>1091</v>
      </c>
      <c r="G364" s="12" t="s">
        <v>328</v>
      </c>
      <c r="H364" s="12" t="s">
        <v>794</v>
      </c>
    </row>
    <row r="365" spans="2:8" ht="13.5" thickBot="1" x14ac:dyDescent="0.25">
      <c r="B365" s="12">
        <v>6</v>
      </c>
      <c r="C365" s="13" t="s">
        <v>1092</v>
      </c>
      <c r="D365" s="13" t="s">
        <v>1093</v>
      </c>
      <c r="E365" s="12" t="s">
        <v>794</v>
      </c>
      <c r="F365" s="12" t="s">
        <v>1094</v>
      </c>
      <c r="G365" s="12" t="s">
        <v>328</v>
      </c>
      <c r="H365" s="12" t="s">
        <v>794</v>
      </c>
    </row>
    <row r="366" spans="2:8" ht="13.5" thickBot="1" x14ac:dyDescent="0.25">
      <c r="B366" s="12">
        <v>7</v>
      </c>
      <c r="C366" s="13" t="s">
        <v>1095</v>
      </c>
      <c r="D366" s="13" t="s">
        <v>1096</v>
      </c>
      <c r="E366" s="12" t="s">
        <v>783</v>
      </c>
      <c r="F366" s="12">
        <v>14</v>
      </c>
      <c r="G366" s="12" t="s">
        <v>328</v>
      </c>
      <c r="H366" s="12" t="s">
        <v>794</v>
      </c>
    </row>
    <row r="367" spans="2:8" ht="13.5" thickBot="1" x14ac:dyDescent="0.25">
      <c r="B367" s="12">
        <v>8</v>
      </c>
      <c r="C367" s="13" t="s">
        <v>952</v>
      </c>
      <c r="D367" s="13" t="s">
        <v>1097</v>
      </c>
      <c r="E367" s="12" t="s">
        <v>794</v>
      </c>
      <c r="F367" s="12" t="s">
        <v>954</v>
      </c>
      <c r="G367" s="12" t="s">
        <v>328</v>
      </c>
      <c r="H367" s="12" t="s">
        <v>794</v>
      </c>
    </row>
    <row r="368" spans="2:8" ht="13.5" thickBot="1" x14ac:dyDescent="0.25">
      <c r="B368" s="12">
        <v>9</v>
      </c>
      <c r="C368" s="13" t="s">
        <v>1098</v>
      </c>
      <c r="D368" s="13" t="s">
        <v>1099</v>
      </c>
      <c r="E368" s="12" t="s">
        <v>783</v>
      </c>
      <c r="F368" s="12" t="s">
        <v>1100</v>
      </c>
      <c r="G368" s="12" t="s">
        <v>328</v>
      </c>
      <c r="H368" s="12" t="s">
        <v>794</v>
      </c>
    </row>
    <row r="369" spans="2:8" ht="13.5" thickBot="1" x14ac:dyDescent="0.25">
      <c r="B369" s="12">
        <v>10</v>
      </c>
      <c r="C369" s="13" t="s">
        <v>1101</v>
      </c>
      <c r="D369" s="13" t="s">
        <v>1102</v>
      </c>
      <c r="E369" s="12" t="s">
        <v>783</v>
      </c>
      <c r="F369" s="12">
        <v>60</v>
      </c>
      <c r="G369" s="12" t="s">
        <v>328</v>
      </c>
      <c r="H369" s="12" t="s">
        <v>794</v>
      </c>
    </row>
    <row r="370" spans="2:8" ht="13.5" thickBot="1" x14ac:dyDescent="0.25">
      <c r="B370" s="12">
        <v>11</v>
      </c>
      <c r="C370" s="13" t="s">
        <v>1103</v>
      </c>
      <c r="D370" s="13" t="s">
        <v>1104</v>
      </c>
      <c r="E370" s="12" t="s">
        <v>783</v>
      </c>
      <c r="F370" s="12" t="s">
        <v>328</v>
      </c>
      <c r="G370" s="12" t="s">
        <v>328</v>
      </c>
      <c r="H370" s="12" t="s">
        <v>794</v>
      </c>
    </row>
    <row r="371" spans="2:8" ht="13.5" thickBot="1" x14ac:dyDescent="0.25">
      <c r="B371" s="12">
        <v>12</v>
      </c>
      <c r="C371" s="13" t="s">
        <v>1105</v>
      </c>
      <c r="D371" s="13" t="s">
        <v>1106</v>
      </c>
      <c r="E371" s="12" t="s">
        <v>783</v>
      </c>
      <c r="F371" s="12">
        <v>60</v>
      </c>
      <c r="G371" s="12" t="s">
        <v>328</v>
      </c>
      <c r="H371" s="12" t="s">
        <v>794</v>
      </c>
    </row>
    <row r="372" spans="2:8" ht="13.5" thickBot="1" x14ac:dyDescent="0.25">
      <c r="B372" s="12">
        <v>13</v>
      </c>
      <c r="C372" s="13" t="s">
        <v>1107</v>
      </c>
      <c r="D372" s="13" t="s">
        <v>1108</v>
      </c>
      <c r="E372" s="12" t="s">
        <v>783</v>
      </c>
      <c r="F372" s="12">
        <v>60</v>
      </c>
      <c r="G372" s="12" t="s">
        <v>328</v>
      </c>
      <c r="H372" s="12" t="s">
        <v>794</v>
      </c>
    </row>
    <row r="374" spans="2:8" ht="13.5" thickBot="1" x14ac:dyDescent="0.25">
      <c r="B374" s="28" t="s">
        <v>771</v>
      </c>
    </row>
    <row r="375" spans="2:8" ht="13.5" thickBot="1" x14ac:dyDescent="0.25">
      <c r="B375" s="11" t="s">
        <v>775</v>
      </c>
      <c r="C375" s="11" t="s">
        <v>776</v>
      </c>
      <c r="D375" s="11" t="s">
        <v>31</v>
      </c>
      <c r="E375" s="11" t="s">
        <v>777</v>
      </c>
      <c r="F375" s="11" t="s">
        <v>778</v>
      </c>
      <c r="G375" s="11" t="s">
        <v>779</v>
      </c>
      <c r="H375" s="11" t="s">
        <v>780</v>
      </c>
    </row>
    <row r="376" spans="2:8" ht="13.5" thickBot="1" x14ac:dyDescent="0.25">
      <c r="B376" s="12">
        <v>1</v>
      </c>
      <c r="C376" s="13" t="s">
        <v>781</v>
      </c>
      <c r="D376" s="14" t="s">
        <v>1109</v>
      </c>
      <c r="E376" s="12" t="s">
        <v>783</v>
      </c>
      <c r="F376" s="12">
        <v>4</v>
      </c>
      <c r="G376" s="12" t="s">
        <v>328</v>
      </c>
      <c r="H376" s="12" t="s">
        <v>785</v>
      </c>
    </row>
    <row r="377" spans="2:8" ht="13.5" thickBot="1" x14ac:dyDescent="0.25">
      <c r="B377" s="12">
        <v>2</v>
      </c>
      <c r="C377" s="13" t="s">
        <v>795</v>
      </c>
      <c r="D377" s="13" t="s">
        <v>1110</v>
      </c>
      <c r="E377" s="12" t="s">
        <v>783</v>
      </c>
      <c r="F377" s="12">
        <v>60</v>
      </c>
      <c r="G377" s="12" t="s">
        <v>328</v>
      </c>
      <c r="H377" s="12" t="s">
        <v>785</v>
      </c>
    </row>
    <row r="378" spans="2:8" ht="13.5" thickBot="1" x14ac:dyDescent="0.25">
      <c r="B378" s="12">
        <v>3</v>
      </c>
      <c r="C378" s="13" t="s">
        <v>1111</v>
      </c>
      <c r="D378" s="13" t="s">
        <v>1112</v>
      </c>
      <c r="E378" s="12" t="s">
        <v>783</v>
      </c>
      <c r="F378" s="12" t="s">
        <v>328</v>
      </c>
      <c r="G378" s="12" t="s">
        <v>328</v>
      </c>
      <c r="H378" s="12" t="s">
        <v>785</v>
      </c>
    </row>
    <row r="379" spans="2:8" ht="13.5" thickBot="1" x14ac:dyDescent="0.25">
      <c r="B379" s="12">
        <v>4</v>
      </c>
      <c r="C379" s="13" t="s">
        <v>1113</v>
      </c>
      <c r="D379" s="13" t="s">
        <v>1114</v>
      </c>
      <c r="E379" s="12" t="s">
        <v>783</v>
      </c>
      <c r="F379" s="12" t="s">
        <v>328</v>
      </c>
      <c r="G379" s="12" t="s">
        <v>328</v>
      </c>
      <c r="H379" s="12" t="s">
        <v>794</v>
      </c>
    </row>
    <row r="380" spans="2:8" ht="13.5" thickBot="1" x14ac:dyDescent="0.25">
      <c r="B380" s="12">
        <v>5</v>
      </c>
      <c r="C380" s="13" t="s">
        <v>1115</v>
      </c>
      <c r="D380" s="13" t="s">
        <v>1116</v>
      </c>
      <c r="E380" s="12" t="s">
        <v>783</v>
      </c>
      <c r="F380" s="12">
        <v>60</v>
      </c>
      <c r="G380" s="12" t="s">
        <v>328</v>
      </c>
      <c r="H380" s="12" t="s">
        <v>794</v>
      </c>
    </row>
    <row r="381" spans="2:8" ht="13.5" thickBot="1" x14ac:dyDescent="0.25">
      <c r="B381" s="12">
        <v>6</v>
      </c>
      <c r="C381" s="13" t="s">
        <v>1117</v>
      </c>
      <c r="D381" s="13" t="s">
        <v>1118</v>
      </c>
      <c r="E381" s="12" t="s">
        <v>783</v>
      </c>
      <c r="F381" s="12">
        <v>6</v>
      </c>
      <c r="G381" s="12" t="s">
        <v>328</v>
      </c>
      <c r="H381" s="12" t="s">
        <v>794</v>
      </c>
    </row>
    <row r="382" spans="2:8" x14ac:dyDescent="0.2">
      <c r="B382" s="56">
        <v>7</v>
      </c>
      <c r="C382" s="59" t="s">
        <v>1119</v>
      </c>
      <c r="D382" s="15" t="s">
        <v>1120</v>
      </c>
      <c r="E382" s="56" t="s">
        <v>794</v>
      </c>
      <c r="F382" s="56" t="s">
        <v>804</v>
      </c>
      <c r="G382" s="56" t="s">
        <v>328</v>
      </c>
      <c r="H382" s="56" t="s">
        <v>785</v>
      </c>
    </row>
    <row r="383" spans="2:8" x14ac:dyDescent="0.2">
      <c r="B383" s="57"/>
      <c r="C383" s="60"/>
      <c r="D383" s="16" t="s">
        <v>1121</v>
      </c>
      <c r="E383" s="57"/>
      <c r="F383" s="57"/>
      <c r="G383" s="57"/>
      <c r="H383" s="57"/>
    </row>
    <row r="384" spans="2:8" x14ac:dyDescent="0.2">
      <c r="B384" s="57"/>
      <c r="C384" s="60"/>
      <c r="D384" s="16" t="s">
        <v>1122</v>
      </c>
      <c r="E384" s="57"/>
      <c r="F384" s="57"/>
      <c r="G384" s="57"/>
      <c r="H384" s="57"/>
    </row>
    <row r="385" spans="2:8" x14ac:dyDescent="0.2">
      <c r="B385" s="57"/>
      <c r="C385" s="60"/>
      <c r="D385" s="16" t="s">
        <v>1123</v>
      </c>
      <c r="E385" s="57"/>
      <c r="F385" s="57"/>
      <c r="G385" s="57"/>
      <c r="H385" s="57"/>
    </row>
    <row r="386" spans="2:8" x14ac:dyDescent="0.2">
      <c r="B386" s="57"/>
      <c r="C386" s="60"/>
      <c r="D386" s="16" t="s">
        <v>1124</v>
      </c>
      <c r="E386" s="57"/>
      <c r="F386" s="57"/>
      <c r="G386" s="57"/>
      <c r="H386" s="57"/>
    </row>
    <row r="387" spans="2:8" x14ac:dyDescent="0.2">
      <c r="B387" s="57"/>
      <c r="C387" s="60"/>
      <c r="D387" s="16" t="s">
        <v>1125</v>
      </c>
      <c r="E387" s="57"/>
      <c r="F387" s="57"/>
      <c r="G387" s="57"/>
      <c r="H387" s="57"/>
    </row>
    <row r="388" spans="2:8" x14ac:dyDescent="0.2">
      <c r="B388" s="57"/>
      <c r="C388" s="60"/>
      <c r="D388" s="16" t="s">
        <v>1126</v>
      </c>
      <c r="E388" s="57"/>
      <c r="F388" s="57"/>
      <c r="G388" s="57"/>
      <c r="H388" s="57"/>
    </row>
    <row r="389" spans="2:8" x14ac:dyDescent="0.2">
      <c r="B389" s="57"/>
      <c r="C389" s="60"/>
      <c r="D389" s="16" t="s">
        <v>1127</v>
      </c>
      <c r="E389" s="57"/>
      <c r="F389" s="57"/>
      <c r="G389" s="57"/>
      <c r="H389" s="57"/>
    </row>
    <row r="390" spans="2:8" x14ac:dyDescent="0.2">
      <c r="B390" s="57"/>
      <c r="C390" s="60"/>
      <c r="D390" s="16" t="s">
        <v>1128</v>
      </c>
      <c r="E390" s="57"/>
      <c r="F390" s="57"/>
      <c r="G390" s="57"/>
      <c r="H390" s="57"/>
    </row>
    <row r="391" spans="2:8" x14ac:dyDescent="0.2">
      <c r="B391" s="57"/>
      <c r="C391" s="60"/>
      <c r="D391" s="16" t="s">
        <v>1129</v>
      </c>
      <c r="E391" s="57"/>
      <c r="F391" s="57"/>
      <c r="G391" s="57"/>
      <c r="H391" s="57"/>
    </row>
    <row r="392" spans="2:8" x14ac:dyDescent="0.2">
      <c r="B392" s="57"/>
      <c r="C392" s="60"/>
      <c r="D392" s="16" t="s">
        <v>1130</v>
      </c>
      <c r="E392" s="57"/>
      <c r="F392" s="57"/>
      <c r="G392" s="57"/>
      <c r="H392" s="57"/>
    </row>
    <row r="393" spans="2:8" x14ac:dyDescent="0.2">
      <c r="B393" s="57"/>
      <c r="C393" s="60"/>
      <c r="D393" s="16" t="s">
        <v>1131</v>
      </c>
      <c r="E393" s="57"/>
      <c r="F393" s="57"/>
      <c r="G393" s="57"/>
      <c r="H393" s="57"/>
    </row>
    <row r="394" spans="2:8" ht="13.5" thickBot="1" x14ac:dyDescent="0.25">
      <c r="B394" s="58"/>
      <c r="C394" s="61"/>
      <c r="D394" s="17" t="s">
        <v>1132</v>
      </c>
      <c r="E394" s="58"/>
      <c r="F394" s="58"/>
      <c r="G394" s="58"/>
      <c r="H394" s="58"/>
    </row>
    <row r="395" spans="2:8" ht="13.5" thickBot="1" x14ac:dyDescent="0.25">
      <c r="B395" s="12">
        <v>8</v>
      </c>
      <c r="C395" s="13" t="s">
        <v>1133</v>
      </c>
      <c r="D395" s="13" t="s">
        <v>1134</v>
      </c>
      <c r="E395" s="12" t="s">
        <v>783</v>
      </c>
      <c r="F395" s="12">
        <v>8</v>
      </c>
      <c r="G395" s="12" t="s">
        <v>328</v>
      </c>
      <c r="H395" s="12" t="s">
        <v>794</v>
      </c>
    </row>
    <row r="396" spans="2:8" ht="13.5" thickBot="1" x14ac:dyDescent="0.25">
      <c r="B396" s="12">
        <v>9</v>
      </c>
      <c r="C396" s="13" t="s">
        <v>1135</v>
      </c>
      <c r="D396" s="13" t="s">
        <v>1136</v>
      </c>
      <c r="E396" s="12" t="s">
        <v>783</v>
      </c>
      <c r="F396" s="12">
        <v>3</v>
      </c>
      <c r="G396" s="12" t="s">
        <v>328</v>
      </c>
      <c r="H396" s="12" t="s">
        <v>794</v>
      </c>
    </row>
    <row r="397" spans="2:8" ht="13.5" thickBot="1" x14ac:dyDescent="0.25">
      <c r="B397" s="12">
        <v>10</v>
      </c>
      <c r="C397" s="13" t="s">
        <v>1137</v>
      </c>
      <c r="D397" s="14" t="s">
        <v>1138</v>
      </c>
      <c r="E397" s="12" t="s">
        <v>794</v>
      </c>
      <c r="F397" s="12" t="s">
        <v>804</v>
      </c>
      <c r="G397" s="12" t="s">
        <v>328</v>
      </c>
      <c r="H397" s="12" t="s">
        <v>794</v>
      </c>
    </row>
    <row r="398" spans="2:8" ht="13.5" thickBot="1" x14ac:dyDescent="0.25">
      <c r="B398" s="56">
        <v>11</v>
      </c>
      <c r="C398" s="59" t="s">
        <v>1139</v>
      </c>
      <c r="D398" s="13" t="s">
        <v>1140</v>
      </c>
      <c r="E398" s="56" t="s">
        <v>794</v>
      </c>
      <c r="F398" s="12">
        <v>4</v>
      </c>
      <c r="G398" s="56" t="s">
        <v>328</v>
      </c>
      <c r="H398" s="56" t="s">
        <v>794</v>
      </c>
    </row>
    <row r="399" spans="2:8" ht="13.5" thickBot="1" x14ac:dyDescent="0.25">
      <c r="B399" s="58"/>
      <c r="C399" s="61"/>
      <c r="D399" s="13" t="s">
        <v>1141</v>
      </c>
      <c r="E399" s="58"/>
      <c r="F399" s="12">
        <v>5</v>
      </c>
      <c r="G399" s="58"/>
      <c r="H399" s="58"/>
    </row>
    <row r="400" spans="2:8" ht="13.5" thickBot="1" x14ac:dyDescent="0.25">
      <c r="B400" s="12">
        <v>12</v>
      </c>
      <c r="C400" s="13" t="s">
        <v>902</v>
      </c>
      <c r="D400" s="13" t="s">
        <v>1142</v>
      </c>
      <c r="E400" s="12" t="s">
        <v>794</v>
      </c>
      <c r="F400" s="12">
        <v>6</v>
      </c>
      <c r="G400" s="12" t="s">
        <v>328</v>
      </c>
      <c r="H400" s="12" t="s">
        <v>794</v>
      </c>
    </row>
  </sheetData>
  <mergeCells count="119">
    <mergeCell ref="B382:B394"/>
    <mergeCell ref="C382:C394"/>
    <mergeCell ref="E382:E394"/>
    <mergeCell ref="F382:F394"/>
    <mergeCell ref="G382:G394"/>
    <mergeCell ref="H382:H394"/>
    <mergeCell ref="B398:B399"/>
    <mergeCell ref="C398:C399"/>
    <mergeCell ref="E398:E399"/>
    <mergeCell ref="G398:G399"/>
    <mergeCell ref="H398:H399"/>
    <mergeCell ref="B21:B23"/>
    <mergeCell ref="C21:C23"/>
    <mergeCell ref="E21:E23"/>
    <mergeCell ref="F21:F23"/>
    <mergeCell ref="G21:G23"/>
    <mergeCell ref="H21:H23"/>
    <mergeCell ref="B4:B7"/>
    <mergeCell ref="C4:C7"/>
    <mergeCell ref="E4:E7"/>
    <mergeCell ref="F4:F7"/>
    <mergeCell ref="G4:G7"/>
    <mergeCell ref="H4:H7"/>
    <mergeCell ref="B34:B36"/>
    <mergeCell ref="C34:C36"/>
    <mergeCell ref="E34:E36"/>
    <mergeCell ref="F34:F36"/>
    <mergeCell ref="G34:G36"/>
    <mergeCell ref="H34:H36"/>
    <mergeCell ref="B31:B33"/>
    <mergeCell ref="C31:C33"/>
    <mergeCell ref="E31:E33"/>
    <mergeCell ref="F31:F33"/>
    <mergeCell ref="G31:G33"/>
    <mergeCell ref="H31:H33"/>
    <mergeCell ref="B40:B42"/>
    <mergeCell ref="C40:C42"/>
    <mergeCell ref="E40:E42"/>
    <mergeCell ref="F40:F42"/>
    <mergeCell ref="G40:G42"/>
    <mergeCell ref="H40:H42"/>
    <mergeCell ref="B37:B39"/>
    <mergeCell ref="C37:C39"/>
    <mergeCell ref="E37:E39"/>
    <mergeCell ref="F37:F39"/>
    <mergeCell ref="G37:G39"/>
    <mergeCell ref="H37:H39"/>
    <mergeCell ref="B73:B75"/>
    <mergeCell ref="C73:C75"/>
    <mergeCell ref="E73:E75"/>
    <mergeCell ref="F73:F75"/>
    <mergeCell ref="G73:G75"/>
    <mergeCell ref="H73:H75"/>
    <mergeCell ref="B50:B53"/>
    <mergeCell ref="C50:C53"/>
    <mergeCell ref="E50:E53"/>
    <mergeCell ref="F50:F53"/>
    <mergeCell ref="G50:G53"/>
    <mergeCell ref="H50:H53"/>
    <mergeCell ref="B114:B124"/>
    <mergeCell ref="C114:C124"/>
    <mergeCell ref="E114:E124"/>
    <mergeCell ref="F114:F124"/>
    <mergeCell ref="G114:G124"/>
    <mergeCell ref="H114:H124"/>
    <mergeCell ref="B85:B87"/>
    <mergeCell ref="C85:C87"/>
    <mergeCell ref="E85:E87"/>
    <mergeCell ref="F85:F87"/>
    <mergeCell ref="G85:G87"/>
    <mergeCell ref="H85:H87"/>
    <mergeCell ref="B162:B164"/>
    <mergeCell ref="C162:C164"/>
    <mergeCell ref="E162:E164"/>
    <mergeCell ref="F162:F164"/>
    <mergeCell ref="G162:G164"/>
    <mergeCell ref="H162:H164"/>
    <mergeCell ref="B160:B161"/>
    <mergeCell ref="C160:C161"/>
    <mergeCell ref="E160:E161"/>
    <mergeCell ref="F160:F161"/>
    <mergeCell ref="G160:G161"/>
    <mergeCell ref="H160:H161"/>
    <mergeCell ref="B255:B257"/>
    <mergeCell ref="C255:C257"/>
    <mergeCell ref="E255:E257"/>
    <mergeCell ref="F255:F257"/>
    <mergeCell ref="G255:G257"/>
    <mergeCell ref="H255:H257"/>
    <mergeCell ref="B194:B196"/>
    <mergeCell ref="C194:C196"/>
    <mergeCell ref="E194:E196"/>
    <mergeCell ref="F194:F196"/>
    <mergeCell ref="G194:G196"/>
    <mergeCell ref="H194:H196"/>
    <mergeCell ref="B261:B263"/>
    <mergeCell ref="C261:C263"/>
    <mergeCell ref="E261:E263"/>
    <mergeCell ref="F261:F263"/>
    <mergeCell ref="G261:G263"/>
    <mergeCell ref="H261:H263"/>
    <mergeCell ref="B258:B260"/>
    <mergeCell ref="C258:C260"/>
    <mergeCell ref="E258:E260"/>
    <mergeCell ref="F258:F260"/>
    <mergeCell ref="G258:G260"/>
    <mergeCell ref="H258:H260"/>
    <mergeCell ref="B284:B302"/>
    <mergeCell ref="C284:C302"/>
    <mergeCell ref="E284:E302"/>
    <mergeCell ref="F284:F302"/>
    <mergeCell ref="G284:G302"/>
    <mergeCell ref="H284:H302"/>
    <mergeCell ref="B272:B280"/>
    <mergeCell ref="C272:C280"/>
    <mergeCell ref="E272:E280"/>
    <mergeCell ref="F272:F280"/>
    <mergeCell ref="G272:G280"/>
    <mergeCell ref="H272:H280"/>
  </mergeCells>
  <hyperlinks>
    <hyperlink ref="D3" r:id="rId1" tooltip="Registro F100 da EFD-Contribuições" display="https://www.valor.srv.br/guias/guiasIndex.php?idGuia=457"/>
    <hyperlink ref="D8" r:id="rId2" tooltip="Registro 0150 da EFD-Contribuições" display="https://www.valor.srv.br/guias/guiasIndex.php?idGuia=360"/>
    <hyperlink ref="D9" r:id="rId3" tooltip="Registro 0200 da EFD-Contribuições" display="https://www.valor.srv.br/guias/guiasIndex.php?idGuia=362"/>
    <hyperlink ref="D30" r:id="rId4" tooltip="Registro A100 da EFD-Contribuições" display="https://www.valor.srv.br/guias/guiasIndex.php?idGuia=375"/>
    <hyperlink ref="D37" r:id="rId5" tooltip="Registro 0150 da EFD-Contribuições" display="https://www.valor.srv.br/guias/guiasIndex.php?idGuia=360"/>
    <hyperlink ref="D65" r:id="rId6" tooltip="Registro C170 da EFD-Contribuições" display="https://www.valor.srv.br/guias/guiasIndex.php?idGuia=390"/>
    <hyperlink ref="D67" r:id="rId7" tooltip="Registro 0200 da EFD-Contribuições" display="https://www.valor.srv.br/guias/guiasIndex.php?idGuia=362"/>
    <hyperlink ref="D70" r:id="rId8" tooltip="Registro 0190 da EFD-Contribuições" display="https://www.valor.srv.br/guias/guiasIndex.php?idGuia=361"/>
    <hyperlink ref="D78" r:id="rId9" tooltip="Registro 0400 da EFD-Contribuições" display="https://www.valor.srv.br/guias/guiasIndex.php?idGuia=366"/>
    <hyperlink ref="D109" r:id="rId10" tooltip="Registro D600 da EFD-Contribuições" display="https://www.valor.srv.br/guias/guiasIndex.php?idGuia=451"/>
    <hyperlink ref="D110" r:id="rId11" tooltip="Tabela 4.1.1 da EFD-Contribuições" display="https://www.valor.srv.br/guias/guiasIndex.php?idGuia=348"/>
    <hyperlink ref="D141" r:id="rId12" tooltip="Registro C500 da EFD-Contribuições" display="https://www.valor.srv.br/guias/guiasIndex.php?idGuia=414"/>
    <hyperlink ref="D142" r:id="rId13" tooltip="Registro 0150 da EFD-Contribuições" display="https://www.valor.srv.br/guias/guiasIndex.php?idGuia=360"/>
    <hyperlink ref="D143" r:id="rId14" tooltip="Tabela 4.1.1 da EFD-Contribuições" display="https://www.valor.srv.br/guias/guiasIndex.php?idGuia=348"/>
    <hyperlink ref="D144" r:id="rId15" tooltip="Tabela 4.1.2 da EFD-Contribuições" display="https://www.valor.srv.br/guias/guiasIndex.php?idGuia=586"/>
    <hyperlink ref="D152" r:id="rId16" tooltip="Registro 0450 da EFD-Contribuições" display="https://www.valor.srv.br/guias/guiasIndex.php?idGuia=367"/>
    <hyperlink ref="D159" r:id="rId17" tooltip="Registro D500 da EFD-Contribuições" display="https://www.valor.srv.br/guias/guiasIndex.php?idGuia=446"/>
    <hyperlink ref="D165" r:id="rId18" tooltip="Registro 0150 da EFD-Contribuições" display="https://www.valor.srv.br/guias/guiasIndex.php?idGuia=360"/>
    <hyperlink ref="D166" r:id="rId19" tooltip="Tabela 4.1.1 da EFD-Contribuições" display="https://www.valor.srv.br/guias/guiasIndex.php?idGuia=348"/>
    <hyperlink ref="D167" r:id="rId20" tooltip="Tabela 4.1.2 da EFD-Contribuições" display="https://www.valor.srv.br/guias/guiasIndex.php?idGuia=586"/>
    <hyperlink ref="D181" r:id="rId21" tooltip="Registro 0450 da EFD-Contribuições" display="https://www.valor.srv.br/guias/guiasIndex.php?idGuia=367"/>
    <hyperlink ref="D187" r:id="rId22" tooltip="Registro A170 da EFD-Contribuições" display="https://www.valor.srv.br/guias/guiasIndex.php?idGuia=379"/>
    <hyperlink ref="D189" r:id="rId23" tooltip="Registro 0200 da EFD-Contribuições" display="https://www.valor.srv.br/guias/guiasIndex.php?idGuia=362"/>
    <hyperlink ref="D210" r:id="rId24" tooltip="Registro D501 da EFD-Contribuições" display="https://www.valor.srv.br/guias/guiasIndex.php?idGuia=447"/>
    <hyperlink ref="D221" r:id="rId25" tooltip="Registro D505 da EFD-Contribuições" display="https://www.valor.srv.br/guias/guiasIndex.php?idGuia=449"/>
    <hyperlink ref="D232" r:id="rId26" tooltip="Registro C501 da EFD-Contribuições" display="https://www.valor.srv.br/guias/guiasIndex.php?idGuia=416"/>
    <hyperlink ref="D243" r:id="rId27" tooltip="Registro C505 da EFD-Contribuições" display="https://www.valor.srv.br/guias/guiasIndex.php?idGuia=417"/>
    <hyperlink ref="D254" r:id="rId28" tooltip="Registro C100 da EFD-Contribuições" display="https://www.valor.srv.br/guias/guiasIndex.php?idGuia=384"/>
    <hyperlink ref="D261" r:id="rId29" tooltip="Registro 0150 da EFD-Contribuições" display="https://www.valor.srv.br/guias/guiasIndex.php?idGuia=360"/>
    <hyperlink ref="D264" r:id="rId30" tooltip="Tabela 4.1.1 da EFD-Contribuições" display="https://www.valor.srv.br/guias/guiasIndex.php?idGuia=348"/>
    <hyperlink ref="D265" r:id="rId31" tooltip="Tabela 4.1.2 da EFD-Contribuições" display="https://www.valor.srv.br/guias/guiasIndex.php?idGuia=586"/>
    <hyperlink ref="D319" r:id="rId32" tooltip="Registro D601 da EFD-Contribuições" display="https://www.valor.srv.br/guias/guiasIndex.php?idGuia=452"/>
    <hyperlink ref="D331" r:id="rId33" tooltip="Registro D605 da EFD-Contribuições" display="https://www.valor.srv.br/guias/guiasIndex.php?idGuia=453"/>
    <hyperlink ref="D343" r:id="rId34" tooltip="Registro 0150 da EFD-Contribuições" display="https://www.valor.srv.br/guias/guiasIndex.php?idGuia=360"/>
    <hyperlink ref="D360" r:id="rId35" tooltip="Registro 0150 da EFD-Contribuições" display="https://www.valor.srv.br/guias/guiasIndex.php?idGuia=360"/>
    <hyperlink ref="D376" r:id="rId36" tooltip="Registro 0200 da EFD-Contribuições" display="https://www.valor.srv.br/guias/guiasIndex.php?idGuia=362"/>
    <hyperlink ref="D397" r:id="rId37" tooltip="Tabela 4.2.1 da EFD-Contribuições" display="https://www.valor.srv.br/guias/guiasIndex.php?idGuia=587"/>
  </hyperlink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7"/>
  </sheetPr>
  <dimension ref="A1"/>
  <sheetViews>
    <sheetView tabSelected="1" workbookViewId="0"/>
  </sheetViews>
  <sheetFormatPr defaultRowHeight="12.75" x14ac:dyDescent="0.2"/>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LAYOUT_ICMS</vt:lpstr>
      <vt:lpstr>LAYOUT_PISCOFINS</vt:lpstr>
      <vt:lpstr>FORMULARIO</vt:lpstr>
      <vt:lpstr>PRONTAS</vt:lpstr>
      <vt:lpstr>REGISTROS</vt:lpstr>
      <vt:lpstr>SPED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thomaz sachetto</dc:creator>
  <cp:lastModifiedBy>thomaz sachetto</cp:lastModifiedBy>
  <dcterms:created xsi:type="dcterms:W3CDTF">2019-06-14T17:55:50Z</dcterms:created>
  <dcterms:modified xsi:type="dcterms:W3CDTF">2020-05-29T16:38:23Z</dcterms:modified>
</cp:coreProperties>
</file>